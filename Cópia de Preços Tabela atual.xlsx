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Jorge Soares\Desktop\APP2\dist\"/>
    </mc:Choice>
  </mc:AlternateContent>
  <xr:revisionPtr revIDLastSave="0" documentId="8_{143DD011-3922-4CFF-9514-A83224B180BB}" xr6:coauthVersionLast="47" xr6:coauthVersionMax="47" xr10:uidLastSave="{00000000-0000-0000-0000-000000000000}"/>
  <bookViews>
    <workbookView xWindow="-120" yWindow="-120" windowWidth="29040" windowHeight="15720" activeTab="1" xr2:uid="{239B5EC5-0046-43A7-8F2E-487CD1E3F215}"/>
  </bookViews>
  <sheets>
    <sheet name="Folha1" sheetId="1" r:id="rId1"/>
    <sheet name="Folha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7" i="1" l="1"/>
  <c r="H9" i="1"/>
  <c r="H85" i="1"/>
  <c r="H84" i="1"/>
  <c r="H59" i="1" l="1"/>
  <c r="H58" i="1"/>
  <c r="H106" i="1"/>
  <c r="H77" i="1"/>
  <c r="H76" i="1"/>
  <c r="H68" i="1"/>
  <c r="H67" i="1"/>
  <c r="H66" i="1"/>
  <c r="H65" i="1"/>
  <c r="H64" i="1"/>
  <c r="H63" i="1"/>
  <c r="H62" i="1"/>
  <c r="H61" i="1"/>
  <c r="H60" i="1"/>
  <c r="H75" i="1"/>
  <c r="H74" i="1"/>
  <c r="H73" i="1"/>
  <c r="H72" i="1"/>
  <c r="H47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3" i="1"/>
  <c r="H54" i="1"/>
  <c r="H82" i="1"/>
  <c r="H81" i="1"/>
  <c r="H80" i="1"/>
  <c r="H79" i="1"/>
  <c r="H78" i="1"/>
  <c r="H71" i="1"/>
  <c r="H70" i="1"/>
  <c r="H69" i="1"/>
  <c r="H48" i="1"/>
  <c r="H46" i="1"/>
  <c r="H44" i="1"/>
  <c r="H52" i="1"/>
  <c r="H42" i="1"/>
  <c r="H39" i="1"/>
  <c r="H27" i="1"/>
  <c r="H25" i="1"/>
  <c r="H23" i="1"/>
  <c r="H21" i="1"/>
  <c r="H29" i="1"/>
  <c r="H26" i="1"/>
  <c r="H30" i="1"/>
  <c r="H8" i="1"/>
  <c r="H7" i="1" l="1"/>
  <c r="H5" i="1"/>
  <c r="H4" i="1"/>
  <c r="H6" i="1"/>
  <c r="H56" i="1"/>
  <c r="H55" i="1"/>
  <c r="H53" i="1"/>
  <c r="H51" i="1"/>
  <c r="H50" i="1"/>
  <c r="H49" i="1"/>
  <c r="H45" i="1"/>
  <c r="H43" i="1"/>
  <c r="H41" i="1"/>
  <c r="H40" i="1"/>
  <c r="H38" i="1"/>
  <c r="H37" i="1"/>
  <c r="H36" i="1"/>
  <c r="H35" i="1"/>
  <c r="H34" i="1"/>
  <c r="H33" i="1"/>
  <c r="H32" i="1"/>
  <c r="H31" i="1"/>
  <c r="H28" i="1"/>
  <c r="H24" i="1"/>
  <c r="H22" i="1"/>
  <c r="H20" i="1"/>
  <c r="H19" i="1"/>
  <c r="H18" i="1"/>
  <c r="H17" i="1"/>
  <c r="H15" i="1"/>
  <c r="H14" i="1"/>
  <c r="H13" i="1"/>
  <c r="H12" i="1"/>
  <c r="H11" i="1"/>
  <c r="H10" i="1"/>
  <c r="H3" i="1"/>
  <c r="H2" i="1"/>
  <c r="H16" i="1" l="1"/>
</calcChain>
</file>

<file path=xl/sharedStrings.xml><?xml version="1.0" encoding="utf-8"?>
<sst xmlns="http://schemas.openxmlformats.org/spreadsheetml/2006/main" count="745" uniqueCount="299">
  <si>
    <t>DESCRIÇAO</t>
  </si>
  <si>
    <t>UN.</t>
  </si>
  <si>
    <t>OBRA</t>
  </si>
  <si>
    <t>CIA</t>
  </si>
  <si>
    <t>DIFERENÇA %</t>
  </si>
  <si>
    <t>Abertura de roços em alvernaria</t>
  </si>
  <si>
    <t>ml</t>
  </si>
  <si>
    <t>Abertura de roços em betão</t>
  </si>
  <si>
    <t>Abertura de vala com meios manuais até 40 cm profundidade</t>
  </si>
  <si>
    <t xml:space="preserve">Afagar e encerar (2 demãos) </t>
  </si>
  <si>
    <t>m2</t>
  </si>
  <si>
    <t xml:space="preserve">Afagar e envernizar c/poliuretano (3 demãos) </t>
  </si>
  <si>
    <t xml:space="preserve">Afagar e envernizar com 3 demãos verniz </t>
  </si>
  <si>
    <t>Aplicação de autonivelante para regularização de pavimento</t>
  </si>
  <si>
    <t xml:space="preserve">Aplicação de impermeabilizante liquido </t>
  </si>
  <si>
    <t xml:space="preserve">Aplicação de moldura roda-teto simples </t>
  </si>
  <si>
    <t>Aplicação de pintura de esmalte aquoso</t>
  </si>
  <si>
    <t xml:space="preserve">Aplicação de tapa poros </t>
  </si>
  <si>
    <t xml:space="preserve">Aplicação de verniz aquoso em obra </t>
  </si>
  <si>
    <t xml:space="preserve">Aplicação de verniz celuloso </t>
  </si>
  <si>
    <t xml:space="preserve">Aplicação de verniz sintético </t>
  </si>
  <si>
    <t>Assentamento de cerâmico - medidas regulares</t>
  </si>
  <si>
    <t xml:space="preserve">Assentamento de pedras (soleiras) </t>
  </si>
  <si>
    <t>Betumar juntas de cerâmico</t>
  </si>
  <si>
    <t>Colocação de aduelas e guarnições</t>
  </si>
  <si>
    <t>un</t>
  </si>
  <si>
    <t xml:space="preserve">Colocação de apainelados de portas/janelas </t>
  </si>
  <si>
    <t xml:space="preserve">Colocação de banheira </t>
  </si>
  <si>
    <t xml:space="preserve">Colocação de grelha de visita </t>
  </si>
  <si>
    <t>Colocação de porta c/ferragem</t>
  </si>
  <si>
    <t>Colocação de rodapés</t>
  </si>
  <si>
    <t>Construção de parede de alvenaria de tijolo  11 cm</t>
  </si>
  <si>
    <t>Construção de parede de alvenaria de tijolo 7 cm</t>
  </si>
  <si>
    <t>Demolição de pano interior de alvenaria</t>
  </si>
  <si>
    <t xml:space="preserve">Demolição de parede e/ou teto falso de gesso cartonado </t>
  </si>
  <si>
    <t>Demolição de revestimento lã de rocha</t>
  </si>
  <si>
    <t xml:space="preserve">Demolição e remoção de betonilha de pavimento </t>
  </si>
  <si>
    <t>Desentupimento e limpeza simples de drenagens de cozinha</t>
  </si>
  <si>
    <t>Desentupimento e limpeza simples de drenagens de W.C.</t>
  </si>
  <si>
    <t>Desentupimentos fora do Grande Porto com recurso a meios mecânicos/hidráulicos</t>
  </si>
  <si>
    <t>Desentupimentos Grande Porto com recurso a meios mecânicos/hidráulicos</t>
  </si>
  <si>
    <t xml:space="preserve">Desmontagem de lavatório </t>
  </si>
  <si>
    <t>item novo</t>
  </si>
  <si>
    <t>Desmontagem de louças sanitárias (divisão completa)</t>
  </si>
  <si>
    <t>vg</t>
  </si>
  <si>
    <t>Desmontagem de móveis de cozinha e wc (unidades s/ pedra)</t>
  </si>
  <si>
    <t>h</t>
  </si>
  <si>
    <t xml:space="preserve">Desmontagem de armários e estruturas fixas </t>
  </si>
  <si>
    <t xml:space="preserve">Desmontagem de autoclismo exterior </t>
  </si>
  <si>
    <t xml:space="preserve">Desmontagem de bidé </t>
  </si>
  <si>
    <t>Desmontagem de misturadora / torneira</t>
  </si>
  <si>
    <t xml:space="preserve">Desmontagem de sanita </t>
  </si>
  <si>
    <t>Deteção de roturas em rede de abastecimento de água através de equipamento ultrassons</t>
  </si>
  <si>
    <t>Deteção de roturas em rede de abastecimento de água c/ injeçao de gas traçador</t>
  </si>
  <si>
    <t>Deteção de roturas em rede de drenagem através de sonda de vídeo com captura de imagens</t>
  </si>
  <si>
    <t xml:space="preserve">Estruturas e instalações provisórias </t>
  </si>
  <si>
    <t>dia</t>
  </si>
  <si>
    <t xml:space="preserve">Execução de betonilha </t>
  </si>
  <si>
    <t>Execução de betonilha de regularização</t>
  </si>
  <si>
    <t xml:space="preserve">Execução de emboço e reboco de parede interior </t>
  </si>
  <si>
    <t>Execução de estuque em parede</t>
  </si>
  <si>
    <t xml:space="preserve">Execução de estuque em teto </t>
  </si>
  <si>
    <t xml:space="preserve">Execução de reboco em argamassa de cimento </t>
  </si>
  <si>
    <t xml:space="preserve">Executar parede em gesso cartonado (pladur) c/estrutura </t>
  </si>
  <si>
    <t xml:space="preserve">Executar sanca (cana e meia cana) </t>
  </si>
  <si>
    <t xml:space="preserve">Executar teto em gesso cartonado hidrofugo (pladur) s/ estrutura </t>
  </si>
  <si>
    <t>Executar teto em gesso cartonado standart (pladur) s/ estrutura</t>
  </si>
  <si>
    <t xml:space="preserve">Executar teto falso em gesso cartonado (pladur) c/estrutura  </t>
  </si>
  <si>
    <t>Fecho de abertura/roço com betão</t>
  </si>
  <si>
    <t>Fecho de roço em parede rebocada</t>
  </si>
  <si>
    <t xml:space="preserve">Forcimento e aplicação de Rodapé em MDF </t>
  </si>
  <si>
    <t>Fornecimento de cerâmico - medidas regulares</t>
  </si>
  <si>
    <t xml:space="preserve">Fornecimento e aplicação de pavimento flutuante 7mm FINSA </t>
  </si>
  <si>
    <t xml:space="preserve">Fornecimento e aplicação de pavimento flutuante 12mm FINSA </t>
  </si>
  <si>
    <t xml:space="preserve">Fornecimento e aplicação de pavimento vinílico 5,5mm FINSA </t>
  </si>
  <si>
    <t xml:space="preserve">Fornecimento e aplicação de Lamparquet Carvalho/Faia 25/30cm </t>
  </si>
  <si>
    <t xml:space="preserve">Fornecimento e aplicação de Lamparquet Carvalho/Faia 49x49x1 </t>
  </si>
  <si>
    <t xml:space="preserve">Fornecimento e aplicação de Lamparquet Iroko 30cm </t>
  </si>
  <si>
    <t xml:space="preserve">Fornecimento e aplicação de Lamparquet Jatobá 30cm </t>
  </si>
  <si>
    <r>
      <t xml:space="preserve">Fornecimento e aplicação de papel de parede qualidade média </t>
    </r>
    <r>
      <rPr>
        <b/>
        <sz val="14"/>
        <color theme="1"/>
        <rFont val="Aptos Narrow"/>
        <family val="2"/>
        <scheme val="minor"/>
      </rPr>
      <t>(papel até 30€/m2)</t>
    </r>
  </si>
  <si>
    <t>Fornecimento e aplicação de primário (- 50m2)</t>
  </si>
  <si>
    <t>Fornecimento e aplicação de primário (+ 51m2)</t>
  </si>
  <si>
    <t xml:space="preserve">Fornecimento e aplicação rodapé folheado </t>
  </si>
  <si>
    <t>Fornecimento e aplicação de rodapé maciço 10cm (s/ acabemento)</t>
  </si>
  <si>
    <t>Fornecimento e aplicação de rodapé maciço 7cm (s/ acabemento)</t>
  </si>
  <si>
    <t>Fornecimento e aplicação de rodapé MDF</t>
  </si>
  <si>
    <t>Fornecimento e aplicaçao de soalho Lamparquet de 30cm (10 mm) carvalho/faia</t>
  </si>
  <si>
    <t>Fornecimento e aplicação de soalho de taco pinho 20x10cm (20mm)</t>
  </si>
  <si>
    <t xml:space="preserve">Fornecimento e aplicação de soalho de Carvalho macheado 18,20 , 22 e32 mm </t>
  </si>
  <si>
    <t xml:space="preserve">Item Pontual </t>
  </si>
  <si>
    <t xml:space="preserve">Fornecimento e aplicação de soalho de Faia macheado 18,20,22 e 32mm </t>
  </si>
  <si>
    <t xml:space="preserve">Fornecimento e aplicação de soalho de Garapa macheado 18,20 , 22 e 32mm </t>
  </si>
  <si>
    <t xml:space="preserve">Fornecimento e aplicação de soalho de Jatobá macheado 18,20 , 22 e 32mm </t>
  </si>
  <si>
    <t xml:space="preserve">Fornecimento e aplicação de soalho de Pinho macheado 18,20 , 22 e 32mm </t>
  </si>
  <si>
    <t xml:space="preserve">Fornecimento e execução de divisória em gesso cartonado c/ estrutura </t>
  </si>
  <si>
    <t>Limpeza final de obra da zona a intervir</t>
  </si>
  <si>
    <t>Limpeza final de obra da zona a intervir - trabalhos de carpintaria</t>
  </si>
  <si>
    <t xml:space="preserve">Mão-de-obra Ajudante </t>
  </si>
  <si>
    <t xml:space="preserve">Mão-de-obra Carpinteiro </t>
  </si>
  <si>
    <t xml:space="preserve">Mão-de-obra Eletricista </t>
  </si>
  <si>
    <t xml:space="preserve">Mão-de-obra Estucador </t>
  </si>
  <si>
    <t xml:space="preserve">Mão-de-obra Ladrilhador </t>
  </si>
  <si>
    <t xml:space="preserve">Mão-de-obra Pedreiro </t>
  </si>
  <si>
    <t>Montar armários e estruturas fixas</t>
  </si>
  <si>
    <t>NOVO PREÇO</t>
  </si>
  <si>
    <t>Montar autoclismo exterior</t>
  </si>
  <si>
    <t xml:space="preserve">Montar bidé </t>
  </si>
  <si>
    <t xml:space="preserve">Montar lavatório / móvel lavatorio  </t>
  </si>
  <si>
    <t>Montar misturadora / torneira (unidade)</t>
  </si>
  <si>
    <t xml:space="preserve">Montar sanita </t>
  </si>
  <si>
    <t>Movimentação de mobiliário (por divisão)</t>
  </si>
  <si>
    <t xml:space="preserve">Picar argamassa/reboco </t>
  </si>
  <si>
    <t>Picar parede/pavimento em betão</t>
  </si>
  <si>
    <t xml:space="preserve">Picar estuque em parede </t>
  </si>
  <si>
    <t xml:space="preserve">Picar estuque em teto </t>
  </si>
  <si>
    <t>Pintar tinta plástica interior/exterior (regular -50m2)</t>
  </si>
  <si>
    <t>Pintar tinta plástica interior/exterior (regular +51m2)</t>
  </si>
  <si>
    <t xml:space="preserve">Pintura c/ tinta de esmalte </t>
  </si>
  <si>
    <t>Pintura c/ tinta de areia</t>
  </si>
  <si>
    <t>Pintura c/ tinta de kerapas</t>
  </si>
  <si>
    <t xml:space="preserve">Pintura com tinta esmalte aquoso (regular) </t>
  </si>
  <si>
    <t>Pintura com tinta plástica sancas</t>
  </si>
  <si>
    <t xml:space="preserve">Preparação de paredes ( emassar) </t>
  </si>
  <si>
    <t xml:space="preserve">Preparação de paredes (lixar) </t>
  </si>
  <si>
    <t xml:space="preserve">Preparação de tetos ( emassar) </t>
  </si>
  <si>
    <t xml:space="preserve">Preparação de tetos (lixar) </t>
  </si>
  <si>
    <t xml:space="preserve">Preparação e envernizamento de aros e guarnições </t>
  </si>
  <si>
    <t xml:space="preserve">Preparação e envernizamento de rodapé </t>
  </si>
  <si>
    <t xml:space="preserve">Preparação e lacagem de rodapé </t>
  </si>
  <si>
    <t>Preparação e lacagem de aros e guarnições (em obra)</t>
  </si>
  <si>
    <t>Proteção da zona a intervir (desde da entrada da fração até ao local de intervenção)</t>
  </si>
  <si>
    <t>Regularização de paredes com reboco areado</t>
  </si>
  <si>
    <t>Remoção de aduelas e guarnições</t>
  </si>
  <si>
    <t xml:space="preserve">Remoção de apainelados de portas/janelas </t>
  </si>
  <si>
    <t>Remoção de cerâmico e respetiva cola</t>
  </si>
  <si>
    <t xml:space="preserve">Remoção de materiais de pavimentos em madeira </t>
  </si>
  <si>
    <t xml:space="preserve">Remoção de porta c/ferrag. </t>
  </si>
  <si>
    <t>Remoção de rodapés</t>
  </si>
  <si>
    <t xml:space="preserve">Remoção de sanca (cana e meia cana) </t>
  </si>
  <si>
    <t xml:space="preserve">Remover papel de parede e limpeza de colas </t>
  </si>
  <si>
    <t xml:space="preserve">Retirada de banheira (mão-de-obra) </t>
  </si>
  <si>
    <t xml:space="preserve">Substituição de sifão de pavimento </t>
  </si>
  <si>
    <t>Substituição de tubo de 1" e respetivos acessórios</t>
  </si>
  <si>
    <t>Substituição de tubo de 1/2" e respetivos acessórios</t>
  </si>
  <si>
    <t xml:space="preserve">Substituição de tubo de 22mm </t>
  </si>
  <si>
    <t xml:space="preserve">Substituição de tubo de 28mm </t>
  </si>
  <si>
    <t>Substituição de tubo de 3/4" e respetivos acessórios</t>
  </si>
  <si>
    <t xml:space="preserve">Substituição de tubo PVC 110mm </t>
  </si>
  <si>
    <t xml:space="preserve">Substituição de tubo PVC 40mm </t>
  </si>
  <si>
    <t xml:space="preserve">Substituição de tubo PVC 50mm </t>
  </si>
  <si>
    <t xml:space="preserve">Substituição de tubo PVC 63mm </t>
  </si>
  <si>
    <t xml:space="preserve">Substituição de tubo PVC 90mm </t>
  </si>
  <si>
    <t xml:space="preserve">Substituição de válvula de banheira </t>
  </si>
  <si>
    <t>Substituição de válvula de base</t>
  </si>
  <si>
    <t xml:space="preserve">Substiuição de válvula de bidé/lavatório </t>
  </si>
  <si>
    <t xml:space="preserve">Vedações e impermeabilizações (inclui cola e veda) </t>
  </si>
  <si>
    <t>CÓDIGO</t>
  </si>
  <si>
    <t>ARP 001</t>
  </si>
  <si>
    <t>ARP 002</t>
  </si>
  <si>
    <t>ARP 003</t>
  </si>
  <si>
    <t>ARP 004</t>
  </si>
  <si>
    <t>ARP 005</t>
  </si>
  <si>
    <t>ARP 006</t>
  </si>
  <si>
    <t>ARP 007</t>
  </si>
  <si>
    <t>ARP 008</t>
  </si>
  <si>
    <t>ARP 009</t>
  </si>
  <si>
    <t>ARP 010</t>
  </si>
  <si>
    <t>ARP 011</t>
  </si>
  <si>
    <t>ARP 012</t>
  </si>
  <si>
    <t>ARP 013</t>
  </si>
  <si>
    <t>ARP 014</t>
  </si>
  <si>
    <t>ARP 015</t>
  </si>
  <si>
    <t>ARP 016</t>
  </si>
  <si>
    <t>ARP 017</t>
  </si>
  <si>
    <t>ARP 018</t>
  </si>
  <si>
    <t>ARP 019</t>
  </si>
  <si>
    <t>ARP 020</t>
  </si>
  <si>
    <t>ARP 021</t>
  </si>
  <si>
    <t>ARP 022</t>
  </si>
  <si>
    <t>ARP 023</t>
  </si>
  <si>
    <t>ARP 024</t>
  </si>
  <si>
    <t>ARP 025</t>
  </si>
  <si>
    <t>ARP 026</t>
  </si>
  <si>
    <t>ARP 027</t>
  </si>
  <si>
    <t>ARP 028</t>
  </si>
  <si>
    <t>ARP 029</t>
  </si>
  <si>
    <t>ARP 030</t>
  </si>
  <si>
    <t>ARP 031</t>
  </si>
  <si>
    <t>ARP 032</t>
  </si>
  <si>
    <t>ARP 033</t>
  </si>
  <si>
    <t>ARP 034</t>
  </si>
  <si>
    <t>ARP 035</t>
  </si>
  <si>
    <t>ARP 036</t>
  </si>
  <si>
    <t>ARP 037</t>
  </si>
  <si>
    <t>ARP 038</t>
  </si>
  <si>
    <t>ARP 039</t>
  </si>
  <si>
    <t>ARP 040</t>
  </si>
  <si>
    <t>ARP 041</t>
  </si>
  <si>
    <t>ARP 042</t>
  </si>
  <si>
    <t>ARP 043</t>
  </si>
  <si>
    <t>ARP 044</t>
  </si>
  <si>
    <t>ARP 045</t>
  </si>
  <si>
    <t>ARP 046</t>
  </si>
  <si>
    <t>ARP 047</t>
  </si>
  <si>
    <t>ARP 048</t>
  </si>
  <si>
    <t>ARP 049</t>
  </si>
  <si>
    <t>ARP 050</t>
  </si>
  <si>
    <t>ARP 051</t>
  </si>
  <si>
    <t>ARP 052</t>
  </si>
  <si>
    <t>ARP 053</t>
  </si>
  <si>
    <t>ARP 054</t>
  </si>
  <si>
    <t>ARP 055</t>
  </si>
  <si>
    <t>ARP 056</t>
  </si>
  <si>
    <t>ARP 057</t>
  </si>
  <si>
    <t>ARP 058</t>
  </si>
  <si>
    <t>ARP 059</t>
  </si>
  <si>
    <t>ARP 060</t>
  </si>
  <si>
    <t>ARP 061</t>
  </si>
  <si>
    <t>ARP 062</t>
  </si>
  <si>
    <t>ARP 063</t>
  </si>
  <si>
    <t>ARP 064</t>
  </si>
  <si>
    <t>ARP 065</t>
  </si>
  <si>
    <t>ARP 066</t>
  </si>
  <si>
    <t>ARP 067</t>
  </si>
  <si>
    <t>ARP 068</t>
  </si>
  <si>
    <t>ARP 069</t>
  </si>
  <si>
    <t>ARP 070</t>
  </si>
  <si>
    <t>ARP 071</t>
  </si>
  <si>
    <t>ARP 072</t>
  </si>
  <si>
    <t>ARP 073</t>
  </si>
  <si>
    <t>ARP 074</t>
  </si>
  <si>
    <t>ARP 075</t>
  </si>
  <si>
    <t>ARP 076</t>
  </si>
  <si>
    <t>ARP 077</t>
  </si>
  <si>
    <t>ARP 078</t>
  </si>
  <si>
    <t>ARP 079</t>
  </si>
  <si>
    <t>ARP 080</t>
  </si>
  <si>
    <t>ARP 081</t>
  </si>
  <si>
    <t>ARP 082</t>
  </si>
  <si>
    <t>ARP 083</t>
  </si>
  <si>
    <t>ARP 084</t>
  </si>
  <si>
    <t>ARP 085</t>
  </si>
  <si>
    <t>ARP 086</t>
  </si>
  <si>
    <t>ARP 087</t>
  </si>
  <si>
    <t>ARP 088</t>
  </si>
  <si>
    <t>ARP 089</t>
  </si>
  <si>
    <t>ARP 090</t>
  </si>
  <si>
    <t>ARP 091</t>
  </si>
  <si>
    <t>ARP 092</t>
  </si>
  <si>
    <t>ARP 093</t>
  </si>
  <si>
    <t>ARP 094</t>
  </si>
  <si>
    <t>ARP 095</t>
  </si>
  <si>
    <t>ARP 096</t>
  </si>
  <si>
    <t>ARP 097</t>
  </si>
  <si>
    <t>ARP 098</t>
  </si>
  <si>
    <t>ARP 099</t>
  </si>
  <si>
    <t>ARP 100</t>
  </si>
  <si>
    <t>ARP 101</t>
  </si>
  <si>
    <t>ARP 102</t>
  </si>
  <si>
    <t>ARP 103</t>
  </si>
  <si>
    <t>ARP 104</t>
  </si>
  <si>
    <t>ARP 105</t>
  </si>
  <si>
    <t>ARP 106</t>
  </si>
  <si>
    <t>ARP 107</t>
  </si>
  <si>
    <t>ARP 108</t>
  </si>
  <si>
    <t>ARP 109</t>
  </si>
  <si>
    <t>ARP 110</t>
  </si>
  <si>
    <t>ARP 111</t>
  </si>
  <si>
    <t>ARP 112</t>
  </si>
  <si>
    <t>ARP 113</t>
  </si>
  <si>
    <t>ARP 114</t>
  </si>
  <si>
    <t>ARP 115</t>
  </si>
  <si>
    <t>ARP 116</t>
  </si>
  <si>
    <t>ARP 117</t>
  </si>
  <si>
    <t>ARP 118</t>
  </si>
  <si>
    <t>ARP 119</t>
  </si>
  <si>
    <t>ARP 120</t>
  </si>
  <si>
    <t>ARP 121</t>
  </si>
  <si>
    <t>ARP 122</t>
  </si>
  <si>
    <t>ARP 123</t>
  </si>
  <si>
    <t>ARP 124</t>
  </si>
  <si>
    <t>ARP 125</t>
  </si>
  <si>
    <t>ARP 126</t>
  </si>
  <si>
    <t>ARP 127</t>
  </si>
  <si>
    <t>ARP 128</t>
  </si>
  <si>
    <t>ARP 129</t>
  </si>
  <si>
    <t>ARP 130</t>
  </si>
  <si>
    <t>ARP 131</t>
  </si>
  <si>
    <t>ARP 132</t>
  </si>
  <si>
    <t>ARP 133</t>
  </si>
  <si>
    <t>ARP 134</t>
  </si>
  <si>
    <t>ARP 135</t>
  </si>
  <si>
    <t>ARP 136</t>
  </si>
  <si>
    <t>ARP 137</t>
  </si>
  <si>
    <t>ARP 138</t>
  </si>
  <si>
    <t>ARP 139</t>
  </si>
  <si>
    <t>ARP 140</t>
  </si>
  <si>
    <t>ARP 141</t>
  </si>
  <si>
    <t>ARP 142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</si>
</sst>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€&quot;_-;\-* #,##0.00\ &quot;€&quot;_-;_-* &quot;-&quot;??\ &quot;€&quot;_-;_-@_-"/>
    <numFmt numFmtId="43" formatCode="_-* #,##0.00_-;\-* #,##0.00_-;_-* &quot;-&quot;??_-;_-@_-"/>
    <numFmt numFmtId="164" formatCode="_-* #,##0.00\ [$€-816]_-;\-* #,##0.00\ [$€-816]_-;_-* &quot;-&quot;??\ [$€-816]_-;_-@_-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color rgb="FF000000"/>
      <name val="Calibri"/>
      <family val="2"/>
    </font>
    <font>
      <sz val="10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43">
    <xf numFmtId="0" fontId="0" fillId="0" borderId="0" xfId="0"/>
    <xf numFmtId="0" fontId="2" fillId="0" borderId="1" xfId="0" applyFont="1" applyBorder="1"/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/>
    </xf>
    <xf numFmtId="44" fontId="2" fillId="0" borderId="1" xfId="1" applyFont="1" applyFill="1" applyBorder="1" applyAlignment="1">
      <alignment horizontal="center"/>
    </xf>
    <xf numFmtId="10" fontId="2" fillId="0" borderId="1" xfId="2" applyNumberFormat="1" applyFont="1" applyFill="1" applyBorder="1" applyAlignment="1">
      <alignment horizontal="center"/>
    </xf>
    <xf numFmtId="0" fontId="2" fillId="0" borderId="1" xfId="0" applyFont="1" applyBorder="1" applyAlignment="1">
      <alignment horizontal="left"/>
    </xf>
    <xf numFmtId="44" fontId="2" fillId="0" borderId="1" xfId="1" applyFont="1" applyBorder="1" applyAlignment="1">
      <alignment horizontal="center"/>
    </xf>
    <xf numFmtId="44" fontId="2" fillId="0" borderId="1" xfId="1" applyFont="1" applyBorder="1"/>
    <xf numFmtId="0" fontId="3" fillId="2" borderId="0" xfId="0" applyFont="1" applyFill="1" applyAlignment="1">
      <alignment horizontal="center"/>
    </xf>
    <xf numFmtId="164" fontId="4" fillId="0" borderId="1" xfId="0" applyNumberFormat="1" applyFont="1" applyBorder="1"/>
    <xf numFmtId="44" fontId="2" fillId="0" borderId="1" xfId="1" applyFont="1" applyBorder="1" applyAlignment="1"/>
    <xf numFmtId="44" fontId="2" fillId="0" borderId="1" xfId="1" applyFont="1" applyFill="1" applyBorder="1" applyAlignment="1"/>
    <xf numFmtId="0" fontId="0" fillId="5" borderId="0" xfId="0" applyFill="1"/>
    <xf numFmtId="44" fontId="2" fillId="4" borderId="1" xfId="1" applyFont="1" applyFill="1" applyBorder="1" applyAlignment="1">
      <alignment horizontal="center"/>
    </xf>
    <xf numFmtId="0" fontId="2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center"/>
    </xf>
    <xf numFmtId="44" fontId="2" fillId="3" borderId="1" xfId="1" applyFont="1" applyFill="1" applyBorder="1" applyAlignment="1">
      <alignment horizontal="center"/>
    </xf>
    <xf numFmtId="10" fontId="2" fillId="3" borderId="1" xfId="2" applyNumberFormat="1" applyFont="1" applyFill="1" applyBorder="1" applyAlignment="1">
      <alignment horizontal="center"/>
    </xf>
    <xf numFmtId="44" fontId="2" fillId="3" borderId="1" xfId="1" applyFont="1" applyFill="1" applyBorder="1" applyAlignment="1"/>
    <xf numFmtId="0" fontId="2" fillId="3" borderId="1" xfId="0" applyFont="1" applyFill="1" applyBorder="1"/>
    <xf numFmtId="44" fontId="2" fillId="3" borderId="1" xfId="1" applyFont="1" applyFill="1" applyBorder="1"/>
    <xf numFmtId="0" fontId="4" fillId="0" borderId="1" xfId="0" applyFont="1" applyBorder="1"/>
    <xf numFmtId="44" fontId="2" fillId="2" borderId="1" xfId="1" applyFont="1" applyFill="1" applyBorder="1" applyAlignment="1">
      <alignment horizontal="center"/>
    </xf>
    <xf numFmtId="164" fontId="4" fillId="2" borderId="1" xfId="0" applyNumberFormat="1" applyFont="1" applyFill="1" applyBorder="1"/>
    <xf numFmtId="44" fontId="2" fillId="2" borderId="1" xfId="1" applyFont="1" applyFill="1" applyBorder="1"/>
    <xf numFmtId="0" fontId="3" fillId="2" borderId="1" xfId="0" applyFont="1" applyFill="1" applyBorder="1" applyAlignment="1">
      <alignment horizontal="center"/>
    </xf>
    <xf numFmtId="0" fontId="2" fillId="2" borderId="1" xfId="0" applyFont="1" applyFill="1" applyBorder="1"/>
    <xf numFmtId="0" fontId="3" fillId="2" borderId="1" xfId="0" applyFont="1" applyFill="1" applyBorder="1"/>
    <xf numFmtId="0" fontId="2" fillId="6" borderId="1" xfId="0" applyFont="1" applyFill="1" applyBorder="1"/>
    <xf numFmtId="0" fontId="0" fillId="0" borderId="1" xfId="0" applyBorder="1"/>
    <xf numFmtId="0" fontId="2" fillId="5" borderId="1" xfId="0" applyFont="1" applyFill="1" applyBorder="1"/>
    <xf numFmtId="0" fontId="0" fillId="7" borderId="1" xfId="0" applyFill="1" applyBorder="1"/>
    <xf numFmtId="0" fontId="5" fillId="6" borderId="1" xfId="0" applyFont="1" applyFill="1" applyBorder="1"/>
    <xf numFmtId="0" fontId="3" fillId="0" borderId="1" xfId="0" applyFont="1" applyFill="1" applyBorder="1" applyAlignment="1">
      <alignment horizontal="center"/>
    </xf>
    <xf numFmtId="0" fontId="2" fillId="0" borderId="1" xfId="0" applyFont="1" applyFill="1" applyBorder="1"/>
    <xf numFmtId="0" fontId="2" fillId="0" borderId="1" xfId="0" applyFont="1" applyFill="1" applyBorder="1" applyAlignment="1">
      <alignment horizontal="center"/>
    </xf>
    <xf numFmtId="44" fontId="2" fillId="0" borderId="1" xfId="1" applyFont="1" applyFill="1" applyBorder="1"/>
    <xf numFmtId="0" fontId="2" fillId="0" borderId="1" xfId="0" applyFont="1" applyFill="1" applyBorder="1" applyAlignment="1">
      <alignment vertical="center"/>
    </xf>
    <xf numFmtId="164" fontId="4" fillId="0" borderId="1" xfId="0" applyNumberFormat="1" applyFont="1" applyFill="1" applyBorder="1"/>
    <xf numFmtId="0" fontId="2" fillId="0" borderId="1" xfId="0" applyFont="1" applyFill="1" applyBorder="1" applyAlignment="1">
      <alignment horizontal="left"/>
    </xf>
    <xf numFmtId="0" fontId="4" fillId="0" borderId="1" xfId="0" applyFont="1" applyFill="1" applyBorder="1"/>
    <xf numFmtId="0" fontId="0" fillId="0" borderId="1" xfId="0" applyBorder="1" applyAlignment="1">
      <alignment horizontal="center"/>
    </xf>
  </cellXfs>
  <cellStyles count="5">
    <cellStyle name="Moeda" xfId="1" builtinId="4"/>
    <cellStyle name="Moeda 2" xfId="3" xr:uid="{8A6264EA-DC2C-4D30-B75C-080D17A34D85}"/>
    <cellStyle name="Normal" xfId="0" builtinId="0"/>
    <cellStyle name="Percentagem" xfId="2" builtinId="5"/>
    <cellStyle name="Vírgula 2" xfId="4" xr:uid="{BC5F82CD-02C0-4AC7-97FA-E14957EDED8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7D6B9-EBDB-4865-9FC5-F94435BE9A2A}">
  <sheetPr>
    <pageSetUpPr fitToPage="1"/>
  </sheetPr>
  <dimension ref="A1:H144"/>
  <sheetViews>
    <sheetView zoomScale="80" zoomScaleNormal="80" workbookViewId="0">
      <selection activeCell="C1" sqref="C1:E143"/>
    </sheetView>
  </sheetViews>
  <sheetFormatPr defaultRowHeight="15" x14ac:dyDescent="0.25"/>
  <cols>
    <col min="1" max="2" width="0.140625" customWidth="1"/>
    <col min="3" max="3" width="100.7109375" customWidth="1"/>
    <col min="4" max="7" width="12.7109375" customWidth="1"/>
    <col min="8" max="8" width="16.28515625" customWidth="1"/>
  </cols>
  <sheetData>
    <row r="1" spans="1:8" ht="18.75" x14ac:dyDescent="0.3">
      <c r="A1" s="9"/>
      <c r="B1" s="9"/>
      <c r="C1" s="26" t="s">
        <v>0</v>
      </c>
      <c r="D1" s="26" t="s">
        <v>1</v>
      </c>
      <c r="E1" s="26" t="s">
        <v>2</v>
      </c>
      <c r="F1" s="27"/>
      <c r="G1" s="26" t="s">
        <v>3</v>
      </c>
      <c r="H1" s="28" t="s">
        <v>4</v>
      </c>
    </row>
    <row r="2" spans="1:8" ht="18.75" x14ac:dyDescent="0.3">
      <c r="A2" s="13"/>
      <c r="B2" s="13"/>
      <c r="C2" s="1" t="s">
        <v>5</v>
      </c>
      <c r="D2" s="3" t="s">
        <v>6</v>
      </c>
      <c r="E2" s="8">
        <v>14</v>
      </c>
      <c r="F2" s="1"/>
      <c r="G2" s="25">
        <v>20.51</v>
      </c>
      <c r="H2" s="5">
        <f>E2/G2-1</f>
        <v>-0.31740614334470996</v>
      </c>
    </row>
    <row r="3" spans="1:8" ht="18.75" x14ac:dyDescent="0.3">
      <c r="A3" s="13"/>
      <c r="B3" s="13"/>
      <c r="C3" s="2" t="s">
        <v>7</v>
      </c>
      <c r="D3" s="3" t="s">
        <v>6</v>
      </c>
      <c r="E3" s="10">
        <v>16.5</v>
      </c>
      <c r="F3" s="1"/>
      <c r="G3" s="24">
        <v>24.45</v>
      </c>
      <c r="H3" s="5">
        <f t="shared" ref="H3:H5" si="0">E3/G3-1</f>
        <v>-0.32515337423312884</v>
      </c>
    </row>
    <row r="4" spans="1:8" ht="18.75" x14ac:dyDescent="0.3">
      <c r="A4" s="13"/>
      <c r="B4" s="13"/>
      <c r="C4" s="1" t="s">
        <v>8</v>
      </c>
      <c r="D4" s="3" t="s">
        <v>6</v>
      </c>
      <c r="E4" s="4">
        <v>42.5</v>
      </c>
      <c r="F4" s="1"/>
      <c r="G4" s="23">
        <v>54.35</v>
      </c>
      <c r="H4" s="5">
        <f t="shared" si="0"/>
        <v>-0.21803127874885009</v>
      </c>
    </row>
    <row r="5" spans="1:8" ht="18.75" x14ac:dyDescent="0.3">
      <c r="A5" s="13"/>
      <c r="B5" s="13"/>
      <c r="C5" s="1" t="s">
        <v>9</v>
      </c>
      <c r="D5" s="3" t="s">
        <v>10</v>
      </c>
      <c r="E5" s="4">
        <v>23</v>
      </c>
      <c r="F5" s="1"/>
      <c r="G5" s="23">
        <v>31.34</v>
      </c>
      <c r="H5" s="5">
        <f t="shared" si="0"/>
        <v>-0.26611359285258451</v>
      </c>
    </row>
    <row r="6" spans="1:8" ht="18.75" x14ac:dyDescent="0.3">
      <c r="A6" s="13"/>
      <c r="B6" s="13"/>
      <c r="C6" s="6" t="s">
        <v>11</v>
      </c>
      <c r="D6" s="3" t="s">
        <v>10</v>
      </c>
      <c r="E6" s="4">
        <v>29.5</v>
      </c>
      <c r="F6" s="1"/>
      <c r="G6" s="23">
        <v>38.75</v>
      </c>
      <c r="H6" s="5">
        <f t="shared" ref="H6" si="1">1-G6/E6</f>
        <v>-0.31355932203389836</v>
      </c>
    </row>
    <row r="7" spans="1:8" ht="18.75" x14ac:dyDescent="0.3">
      <c r="A7" s="13"/>
      <c r="B7" s="13"/>
      <c r="C7" s="2" t="s">
        <v>12</v>
      </c>
      <c r="D7" s="3" t="s">
        <v>10</v>
      </c>
      <c r="E7" s="4">
        <v>29.5</v>
      </c>
      <c r="F7" s="1"/>
      <c r="G7" s="23">
        <v>38.75</v>
      </c>
      <c r="H7" s="5">
        <f t="shared" ref="H7" si="2">1-G7/E7</f>
        <v>-0.31355932203389836</v>
      </c>
    </row>
    <row r="8" spans="1:8" ht="18.75" x14ac:dyDescent="0.3">
      <c r="A8" s="13"/>
      <c r="B8" s="13"/>
      <c r="C8" s="1" t="s">
        <v>13</v>
      </c>
      <c r="D8" s="3" t="s">
        <v>10</v>
      </c>
      <c r="E8" s="4">
        <v>22.5</v>
      </c>
      <c r="F8" s="1"/>
      <c r="G8" s="23">
        <v>31.34</v>
      </c>
      <c r="H8" s="5">
        <f t="shared" ref="H8:H25" si="3">E8/G8-1</f>
        <v>-0.28206764518187621</v>
      </c>
    </row>
    <row r="9" spans="1:8" ht="18.75" x14ac:dyDescent="0.3">
      <c r="A9" s="13"/>
      <c r="B9" s="13"/>
      <c r="C9" s="1" t="s">
        <v>14</v>
      </c>
      <c r="D9" s="3" t="s">
        <v>10</v>
      </c>
      <c r="E9" s="4">
        <v>7.85</v>
      </c>
      <c r="F9" s="1"/>
      <c r="G9" s="23">
        <v>10.71</v>
      </c>
      <c r="H9" s="5">
        <f t="shared" si="3"/>
        <v>-0.26704014939309062</v>
      </c>
    </row>
    <row r="10" spans="1:8" ht="18.75" x14ac:dyDescent="0.3">
      <c r="A10" s="13"/>
      <c r="B10" s="13"/>
      <c r="C10" s="1" t="s">
        <v>15</v>
      </c>
      <c r="D10" s="3" t="s">
        <v>6</v>
      </c>
      <c r="E10" s="4">
        <v>10.5</v>
      </c>
      <c r="F10" s="1"/>
      <c r="G10" s="23">
        <v>14.85</v>
      </c>
      <c r="H10" s="5">
        <f t="shared" si="3"/>
        <v>-0.29292929292929293</v>
      </c>
    </row>
    <row r="11" spans="1:8" ht="18.75" x14ac:dyDescent="0.3">
      <c r="A11" s="13"/>
      <c r="B11" s="13"/>
      <c r="C11" s="2" t="s">
        <v>16</v>
      </c>
      <c r="D11" s="3" t="s">
        <v>10</v>
      </c>
      <c r="E11" s="4">
        <v>11</v>
      </c>
      <c r="F11" s="1"/>
      <c r="G11" s="23">
        <v>15.75</v>
      </c>
      <c r="H11" s="5">
        <f t="shared" si="3"/>
        <v>-0.30158730158730163</v>
      </c>
    </row>
    <row r="12" spans="1:8" ht="18.75" x14ac:dyDescent="0.3">
      <c r="A12" s="13"/>
      <c r="B12" s="13"/>
      <c r="C12" s="1" t="s">
        <v>17</v>
      </c>
      <c r="D12" s="3" t="s">
        <v>10</v>
      </c>
      <c r="E12" s="4">
        <v>5</v>
      </c>
      <c r="F12" s="1"/>
      <c r="G12" s="23">
        <v>6.5</v>
      </c>
      <c r="H12" s="5">
        <f t="shared" si="3"/>
        <v>-0.23076923076923073</v>
      </c>
    </row>
    <row r="13" spans="1:8" ht="18.75" x14ac:dyDescent="0.3">
      <c r="A13" s="13"/>
      <c r="B13" s="13"/>
      <c r="C13" s="1" t="s">
        <v>18</v>
      </c>
      <c r="D13" s="3" t="s">
        <v>10</v>
      </c>
      <c r="E13" s="4">
        <v>9.5</v>
      </c>
      <c r="F13" s="1"/>
      <c r="G13" s="23">
        <v>14.53</v>
      </c>
      <c r="H13" s="5">
        <f t="shared" si="3"/>
        <v>-0.34618031658637294</v>
      </c>
    </row>
    <row r="14" spans="1:8" ht="18.75" x14ac:dyDescent="0.3">
      <c r="A14" s="13"/>
      <c r="B14" s="13"/>
      <c r="C14" s="1" t="s">
        <v>19</v>
      </c>
      <c r="D14" s="3" t="s">
        <v>10</v>
      </c>
      <c r="E14" s="4">
        <v>7.5</v>
      </c>
      <c r="F14" s="1"/>
      <c r="G14" s="23">
        <v>10.88</v>
      </c>
      <c r="H14" s="5">
        <f t="shared" si="3"/>
        <v>-0.31066176470588236</v>
      </c>
    </row>
    <row r="15" spans="1:8" ht="18.75" x14ac:dyDescent="0.3">
      <c r="A15" s="13"/>
      <c r="B15" s="13"/>
      <c r="C15" s="1" t="s">
        <v>20</v>
      </c>
      <c r="D15" s="3" t="s">
        <v>10</v>
      </c>
      <c r="E15" s="7">
        <v>10</v>
      </c>
      <c r="F15" s="1"/>
      <c r="G15" s="23">
        <v>14.53</v>
      </c>
      <c r="H15" s="5">
        <f t="shared" si="3"/>
        <v>-0.31176875430144524</v>
      </c>
    </row>
    <row r="16" spans="1:8" ht="18.75" x14ac:dyDescent="0.3">
      <c r="A16" s="13"/>
      <c r="B16" s="13"/>
      <c r="C16" s="1" t="s">
        <v>21</v>
      </c>
      <c r="D16" s="3" t="s">
        <v>10</v>
      </c>
      <c r="E16" s="4">
        <v>17.5</v>
      </c>
      <c r="F16" s="1"/>
      <c r="G16" s="23">
        <v>25</v>
      </c>
      <c r="H16" s="5">
        <f t="shared" si="3"/>
        <v>-0.30000000000000004</v>
      </c>
    </row>
    <row r="17" spans="1:8" ht="18.75" x14ac:dyDescent="0.3">
      <c r="A17" s="13"/>
      <c r="B17" s="13"/>
      <c r="C17" s="1" t="s">
        <v>22</v>
      </c>
      <c r="D17" s="3" t="s">
        <v>6</v>
      </c>
      <c r="E17" s="4">
        <v>22</v>
      </c>
      <c r="F17" s="1"/>
      <c r="G17" s="23">
        <v>30.2</v>
      </c>
      <c r="H17" s="5">
        <f t="shared" si="3"/>
        <v>-0.27152317880794696</v>
      </c>
    </row>
    <row r="18" spans="1:8" ht="18.75" x14ac:dyDescent="0.3">
      <c r="A18" s="13"/>
      <c r="B18" s="13"/>
      <c r="C18" s="1" t="s">
        <v>23</v>
      </c>
      <c r="D18" s="3" t="s">
        <v>10</v>
      </c>
      <c r="E18" s="4">
        <v>4</v>
      </c>
      <c r="F18" s="1"/>
      <c r="G18" s="23">
        <v>5.7</v>
      </c>
      <c r="H18" s="5">
        <f t="shared" si="3"/>
        <v>-0.29824561403508776</v>
      </c>
    </row>
    <row r="19" spans="1:8" ht="18.75" x14ac:dyDescent="0.3">
      <c r="A19" s="13"/>
      <c r="B19" s="13"/>
      <c r="C19" s="1" t="s">
        <v>24</v>
      </c>
      <c r="D19" s="3" t="s">
        <v>25</v>
      </c>
      <c r="E19" s="7">
        <v>39.5</v>
      </c>
      <c r="F19" s="1"/>
      <c r="G19" s="23">
        <v>54.6</v>
      </c>
      <c r="H19" s="5">
        <f t="shared" si="3"/>
        <v>-0.27655677655677657</v>
      </c>
    </row>
    <row r="20" spans="1:8" ht="18.75" x14ac:dyDescent="0.3">
      <c r="A20" s="13"/>
      <c r="B20" s="13"/>
      <c r="C20" s="1" t="s">
        <v>26</v>
      </c>
      <c r="D20" s="3" t="s">
        <v>25</v>
      </c>
      <c r="E20" s="4">
        <v>39.5</v>
      </c>
      <c r="F20" s="1"/>
      <c r="G20" s="23">
        <v>55.82</v>
      </c>
      <c r="H20" s="5">
        <f t="shared" si="3"/>
        <v>-0.29236832676460045</v>
      </c>
    </row>
    <row r="21" spans="1:8" ht="18.75" x14ac:dyDescent="0.3">
      <c r="A21" s="13"/>
      <c r="B21" s="13"/>
      <c r="C21" s="1" t="s">
        <v>27</v>
      </c>
      <c r="D21" s="3" t="s">
        <v>25</v>
      </c>
      <c r="E21" s="4">
        <v>95</v>
      </c>
      <c r="F21" s="1"/>
      <c r="G21" s="23">
        <v>136.69999999999999</v>
      </c>
      <c r="H21" s="5">
        <f t="shared" si="3"/>
        <v>-0.30504754937820033</v>
      </c>
    </row>
    <row r="22" spans="1:8" ht="18.75" x14ac:dyDescent="0.3">
      <c r="A22" s="13"/>
      <c r="B22" s="13"/>
      <c r="C22" s="2" t="s">
        <v>28</v>
      </c>
      <c r="D22" s="3" t="s">
        <v>25</v>
      </c>
      <c r="E22" s="7">
        <v>32.5</v>
      </c>
      <c r="F22" s="1"/>
      <c r="G22" s="14">
        <v>50.4</v>
      </c>
      <c r="H22" s="5">
        <f t="shared" si="3"/>
        <v>-0.35515873015873012</v>
      </c>
    </row>
    <row r="23" spans="1:8" ht="18.75" x14ac:dyDescent="0.3">
      <c r="A23" s="13"/>
      <c r="B23" s="13"/>
      <c r="C23" s="1" t="s">
        <v>29</v>
      </c>
      <c r="D23" s="3" t="s">
        <v>25</v>
      </c>
      <c r="E23" s="4">
        <v>39.5</v>
      </c>
      <c r="F23" s="1"/>
      <c r="G23" s="23">
        <v>54.7</v>
      </c>
      <c r="H23" s="5">
        <f t="shared" si="3"/>
        <v>-0.27787934186471663</v>
      </c>
    </row>
    <row r="24" spans="1:8" ht="18.75" x14ac:dyDescent="0.3">
      <c r="A24" s="13"/>
      <c r="B24" s="13"/>
      <c r="C24" s="1" t="s">
        <v>30</v>
      </c>
      <c r="D24" s="3" t="s">
        <v>6</v>
      </c>
      <c r="E24" s="7">
        <v>4.5</v>
      </c>
      <c r="F24" s="1"/>
      <c r="G24" s="23">
        <v>6.7</v>
      </c>
      <c r="H24" s="5">
        <f t="shared" si="3"/>
        <v>-0.32835820895522394</v>
      </c>
    </row>
    <row r="25" spans="1:8" ht="18.75" x14ac:dyDescent="0.3">
      <c r="A25" s="13"/>
      <c r="B25" s="13"/>
      <c r="C25" s="2" t="s">
        <v>31</v>
      </c>
      <c r="D25" s="3" t="s">
        <v>10</v>
      </c>
      <c r="E25" s="7">
        <v>14</v>
      </c>
      <c r="F25" s="1"/>
      <c r="G25" s="23">
        <v>20.65</v>
      </c>
      <c r="H25" s="5">
        <f t="shared" si="3"/>
        <v>-0.32203389830508466</v>
      </c>
    </row>
    <row r="26" spans="1:8" ht="18.75" x14ac:dyDescent="0.3">
      <c r="A26" s="13"/>
      <c r="B26" s="13"/>
      <c r="C26" s="2" t="s">
        <v>32</v>
      </c>
      <c r="D26" s="3" t="s">
        <v>10</v>
      </c>
      <c r="E26" s="7">
        <v>12.5</v>
      </c>
      <c r="F26" s="1"/>
      <c r="G26" s="23">
        <v>18.25</v>
      </c>
      <c r="H26" s="5">
        <f t="shared" ref="H26:H68" si="4">E26/G26-1</f>
        <v>-0.31506849315068497</v>
      </c>
    </row>
    <row r="27" spans="1:8" ht="18.75" x14ac:dyDescent="0.3">
      <c r="A27" s="13"/>
      <c r="B27" s="13"/>
      <c r="C27" s="15" t="s">
        <v>33</v>
      </c>
      <c r="D27" s="16" t="s">
        <v>10</v>
      </c>
      <c r="E27" s="17">
        <v>0</v>
      </c>
      <c r="F27" s="20"/>
      <c r="G27" s="17">
        <v>16.8</v>
      </c>
      <c r="H27" s="18">
        <f t="shared" si="4"/>
        <v>-1</v>
      </c>
    </row>
    <row r="28" spans="1:8" ht="18.75" x14ac:dyDescent="0.3">
      <c r="A28" s="13"/>
      <c r="B28" s="13"/>
      <c r="C28" s="2" t="s">
        <v>34</v>
      </c>
      <c r="D28" s="3" t="s">
        <v>10</v>
      </c>
      <c r="E28" s="7">
        <v>6.15</v>
      </c>
      <c r="F28" s="1"/>
      <c r="G28" s="23">
        <v>10.25</v>
      </c>
      <c r="H28" s="5">
        <f t="shared" si="4"/>
        <v>-0.39999999999999991</v>
      </c>
    </row>
    <row r="29" spans="1:8" ht="18.75" x14ac:dyDescent="0.3">
      <c r="A29" s="13"/>
      <c r="B29" s="13"/>
      <c r="C29" s="15" t="s">
        <v>35</v>
      </c>
      <c r="D29" s="16" t="s">
        <v>10</v>
      </c>
      <c r="E29" s="17">
        <v>0</v>
      </c>
      <c r="F29" s="20"/>
      <c r="G29" s="17">
        <v>6.5</v>
      </c>
      <c r="H29" s="18">
        <f t="shared" si="4"/>
        <v>-1</v>
      </c>
    </row>
    <row r="30" spans="1:8" ht="18.75" x14ac:dyDescent="0.3">
      <c r="A30" s="13"/>
      <c r="B30" s="13"/>
      <c r="C30" s="1" t="s">
        <v>36</v>
      </c>
      <c r="D30" s="3" t="s">
        <v>10</v>
      </c>
      <c r="E30" s="4">
        <v>18.5</v>
      </c>
      <c r="F30" s="1"/>
      <c r="G30" s="23">
        <v>22.5</v>
      </c>
      <c r="H30" s="5">
        <f t="shared" si="4"/>
        <v>-0.17777777777777781</v>
      </c>
    </row>
    <row r="31" spans="1:8" ht="18.75" x14ac:dyDescent="0.3">
      <c r="A31" s="13"/>
      <c r="B31" s="13"/>
      <c r="C31" s="1" t="s">
        <v>37</v>
      </c>
      <c r="D31" s="3" t="s">
        <v>25</v>
      </c>
      <c r="E31" s="4">
        <v>130</v>
      </c>
      <c r="F31" s="1"/>
      <c r="G31" s="23">
        <v>175.5</v>
      </c>
      <c r="H31" s="5">
        <f t="shared" si="4"/>
        <v>-0.2592592592592593</v>
      </c>
    </row>
    <row r="32" spans="1:8" ht="18.75" x14ac:dyDescent="0.3">
      <c r="A32" s="13"/>
      <c r="B32" s="13"/>
      <c r="C32" s="1" t="s">
        <v>38</v>
      </c>
      <c r="D32" s="3" t="s">
        <v>25</v>
      </c>
      <c r="E32" s="4">
        <v>125</v>
      </c>
      <c r="F32" s="1"/>
      <c r="G32" s="23">
        <v>156.5</v>
      </c>
      <c r="H32" s="5">
        <f t="shared" si="4"/>
        <v>-0.20127795527156545</v>
      </c>
    </row>
    <row r="33" spans="1:8" ht="18.75" x14ac:dyDescent="0.3">
      <c r="A33" s="13"/>
      <c r="B33" s="13"/>
      <c r="C33" s="1" t="s">
        <v>39</v>
      </c>
      <c r="D33" s="3" t="s">
        <v>25</v>
      </c>
      <c r="E33" s="4">
        <v>351</v>
      </c>
      <c r="F33" s="1"/>
      <c r="G33" s="23">
        <v>325</v>
      </c>
      <c r="H33" s="5">
        <f t="shared" si="4"/>
        <v>8.0000000000000071E-2</v>
      </c>
    </row>
    <row r="34" spans="1:8" ht="18.75" x14ac:dyDescent="0.3">
      <c r="A34" s="13"/>
      <c r="B34" s="13"/>
      <c r="C34" s="1" t="s">
        <v>40</v>
      </c>
      <c r="D34" s="3" t="s">
        <v>25</v>
      </c>
      <c r="E34" s="11">
        <v>200</v>
      </c>
      <c r="F34" s="1"/>
      <c r="G34" s="23">
        <v>238</v>
      </c>
      <c r="H34" s="5">
        <f t="shared" si="4"/>
        <v>-0.15966386554621848</v>
      </c>
    </row>
    <row r="35" spans="1:8" ht="18.75" x14ac:dyDescent="0.3">
      <c r="A35" s="13"/>
      <c r="B35" s="13"/>
      <c r="C35" s="1" t="s">
        <v>41</v>
      </c>
      <c r="D35" s="7" t="s">
        <v>25</v>
      </c>
      <c r="E35" s="11">
        <v>22.5</v>
      </c>
      <c r="F35" s="29" t="s">
        <v>42</v>
      </c>
      <c r="G35" s="14">
        <v>0</v>
      </c>
      <c r="H35" s="5" t="e">
        <f t="shared" si="4"/>
        <v>#DIV/0!</v>
      </c>
    </row>
    <row r="36" spans="1:8" ht="18.75" x14ac:dyDescent="0.3">
      <c r="A36" s="13"/>
      <c r="B36" s="13"/>
      <c r="C36" s="2" t="s">
        <v>43</v>
      </c>
      <c r="D36" s="3" t="s">
        <v>44</v>
      </c>
      <c r="E36" s="11">
        <v>90</v>
      </c>
      <c r="F36" s="29" t="s">
        <v>42</v>
      </c>
      <c r="G36" s="14">
        <v>0</v>
      </c>
      <c r="H36" s="5" t="e">
        <f t="shared" si="4"/>
        <v>#DIV/0!</v>
      </c>
    </row>
    <row r="37" spans="1:8" ht="18.75" x14ac:dyDescent="0.3">
      <c r="A37" s="13"/>
      <c r="B37" s="13"/>
      <c r="C37" s="2" t="s">
        <v>45</v>
      </c>
      <c r="D37" s="7" t="s">
        <v>46</v>
      </c>
      <c r="E37" s="11">
        <v>22.5</v>
      </c>
      <c r="F37" s="29" t="s">
        <v>42</v>
      </c>
      <c r="G37" s="14">
        <v>0</v>
      </c>
      <c r="H37" s="5" t="e">
        <f t="shared" si="4"/>
        <v>#DIV/0!</v>
      </c>
    </row>
    <row r="38" spans="1:8" ht="18.75" x14ac:dyDescent="0.3">
      <c r="A38" s="13"/>
      <c r="B38" s="13"/>
      <c r="C38" s="1" t="s">
        <v>47</v>
      </c>
      <c r="D38" s="3" t="s">
        <v>46</v>
      </c>
      <c r="E38" s="12">
        <v>36.5</v>
      </c>
      <c r="F38" s="29" t="s">
        <v>42</v>
      </c>
      <c r="G38" s="14">
        <v>0</v>
      </c>
      <c r="H38" s="5" t="e">
        <f t="shared" si="4"/>
        <v>#DIV/0!</v>
      </c>
    </row>
    <row r="39" spans="1:8" ht="18.75" x14ac:dyDescent="0.3">
      <c r="A39" s="13"/>
      <c r="B39" s="13"/>
      <c r="C39" s="1" t="s">
        <v>48</v>
      </c>
      <c r="D39" s="3" t="s">
        <v>25</v>
      </c>
      <c r="E39" s="11">
        <v>16.5</v>
      </c>
      <c r="F39" s="29" t="s">
        <v>42</v>
      </c>
      <c r="G39" s="14">
        <v>0</v>
      </c>
      <c r="H39" s="5" t="e">
        <f t="shared" si="4"/>
        <v>#DIV/0!</v>
      </c>
    </row>
    <row r="40" spans="1:8" ht="18.75" x14ac:dyDescent="0.3">
      <c r="A40" s="13"/>
      <c r="B40" s="13"/>
      <c r="C40" s="1" t="s">
        <v>49</v>
      </c>
      <c r="D40" s="3" t="s">
        <v>25</v>
      </c>
      <c r="E40" s="12">
        <v>26.5</v>
      </c>
      <c r="F40" s="29" t="s">
        <v>42</v>
      </c>
      <c r="G40" s="14">
        <v>0</v>
      </c>
      <c r="H40" s="5" t="e">
        <f t="shared" si="4"/>
        <v>#DIV/0!</v>
      </c>
    </row>
    <row r="41" spans="1:8" ht="18.75" x14ac:dyDescent="0.3">
      <c r="A41" s="13"/>
      <c r="B41" s="13"/>
      <c r="C41" s="1" t="s">
        <v>50</v>
      </c>
      <c r="D41" s="3" t="s">
        <v>25</v>
      </c>
      <c r="E41" s="11">
        <v>22.5</v>
      </c>
      <c r="F41" s="29" t="s">
        <v>42</v>
      </c>
      <c r="G41" s="14">
        <v>0</v>
      </c>
      <c r="H41" s="5" t="e">
        <f t="shared" si="4"/>
        <v>#DIV/0!</v>
      </c>
    </row>
    <row r="42" spans="1:8" ht="18.75" x14ac:dyDescent="0.3">
      <c r="A42" s="13"/>
      <c r="B42" s="13"/>
      <c r="C42" s="1" t="s">
        <v>51</v>
      </c>
      <c r="D42" s="3" t="s">
        <v>25</v>
      </c>
      <c r="E42" s="11">
        <v>26.5</v>
      </c>
      <c r="F42" s="29" t="s">
        <v>42</v>
      </c>
      <c r="G42" s="14">
        <v>0</v>
      </c>
      <c r="H42" s="5" t="e">
        <f t="shared" si="4"/>
        <v>#DIV/0!</v>
      </c>
    </row>
    <row r="43" spans="1:8" ht="18.75" x14ac:dyDescent="0.3">
      <c r="A43" s="13"/>
      <c r="B43" s="13"/>
      <c r="C43" s="1" t="s">
        <v>52</v>
      </c>
      <c r="D43" s="7" t="s">
        <v>44</v>
      </c>
      <c r="E43" s="11">
        <v>385</v>
      </c>
      <c r="F43" s="29" t="s">
        <v>42</v>
      </c>
      <c r="G43" s="14">
        <v>0</v>
      </c>
      <c r="H43" s="5" t="e">
        <f t="shared" si="4"/>
        <v>#DIV/0!</v>
      </c>
    </row>
    <row r="44" spans="1:8" ht="18.75" x14ac:dyDescent="0.3">
      <c r="A44" s="13"/>
      <c r="B44" s="13"/>
      <c r="C44" s="1" t="s">
        <v>53</v>
      </c>
      <c r="D44" s="3" t="s">
        <v>44</v>
      </c>
      <c r="E44" s="11">
        <v>385</v>
      </c>
      <c r="F44" s="29" t="s">
        <v>42</v>
      </c>
      <c r="G44" s="14">
        <v>0</v>
      </c>
      <c r="H44" s="5" t="e">
        <f t="shared" ref="H44" si="5">E44/G44-1</f>
        <v>#DIV/0!</v>
      </c>
    </row>
    <row r="45" spans="1:8" ht="18.75" x14ac:dyDescent="0.3">
      <c r="A45" s="13"/>
      <c r="B45" s="13"/>
      <c r="C45" s="1" t="s">
        <v>54</v>
      </c>
      <c r="D45" s="3" t="s">
        <v>44</v>
      </c>
      <c r="E45" s="12">
        <v>195</v>
      </c>
      <c r="F45" s="29" t="s">
        <v>42</v>
      </c>
      <c r="G45" s="14">
        <v>0</v>
      </c>
      <c r="H45" s="5" t="e">
        <f t="shared" si="4"/>
        <v>#DIV/0!</v>
      </c>
    </row>
    <row r="46" spans="1:8" ht="18.75" x14ac:dyDescent="0.3">
      <c r="A46" s="13"/>
      <c r="B46" s="13"/>
      <c r="C46" s="1" t="s">
        <v>55</v>
      </c>
      <c r="D46" s="3" t="s">
        <v>56</v>
      </c>
      <c r="E46" s="12">
        <v>65</v>
      </c>
      <c r="F46" s="1"/>
      <c r="G46" s="23">
        <v>56</v>
      </c>
      <c r="H46" s="5">
        <f t="shared" si="4"/>
        <v>0.16071428571428581</v>
      </c>
    </row>
    <row r="47" spans="1:8" ht="18.75" x14ac:dyDescent="0.3">
      <c r="A47" s="13"/>
      <c r="B47" s="13"/>
      <c r="C47" s="1" t="s">
        <v>57</v>
      </c>
      <c r="D47" s="3" t="s">
        <v>10</v>
      </c>
      <c r="E47" s="11">
        <v>19</v>
      </c>
      <c r="F47" s="1"/>
      <c r="G47" s="23">
        <v>27</v>
      </c>
      <c r="H47" s="5">
        <f>E47/G47-1</f>
        <v>-0.29629629629629628</v>
      </c>
    </row>
    <row r="48" spans="1:8" ht="18.75" x14ac:dyDescent="0.3">
      <c r="A48" s="13"/>
      <c r="B48" s="13"/>
      <c r="C48" s="15" t="s">
        <v>58</v>
      </c>
      <c r="D48" s="16" t="s">
        <v>10</v>
      </c>
      <c r="E48" s="19">
        <v>22</v>
      </c>
      <c r="F48" s="20"/>
      <c r="G48" s="17">
        <v>0</v>
      </c>
      <c r="H48" s="18" t="e">
        <f t="shared" si="4"/>
        <v>#DIV/0!</v>
      </c>
    </row>
    <row r="49" spans="1:8" ht="18.75" x14ac:dyDescent="0.3">
      <c r="A49" s="13"/>
      <c r="B49" s="13"/>
      <c r="C49" s="1" t="s">
        <v>59</v>
      </c>
      <c r="D49" s="3" t="s">
        <v>10</v>
      </c>
      <c r="E49" s="12">
        <v>22.5</v>
      </c>
      <c r="F49" s="1"/>
      <c r="G49" s="23">
        <v>32.700000000000003</v>
      </c>
      <c r="H49" s="5">
        <f t="shared" si="4"/>
        <v>-0.31192660550458717</v>
      </c>
    </row>
    <row r="50" spans="1:8" ht="18.75" x14ac:dyDescent="0.3">
      <c r="A50" s="13"/>
      <c r="B50" s="13"/>
      <c r="C50" s="1" t="s">
        <v>60</v>
      </c>
      <c r="D50" s="3" t="s">
        <v>10</v>
      </c>
      <c r="E50" s="12">
        <v>16.5</v>
      </c>
      <c r="F50" s="1"/>
      <c r="G50" s="23">
        <v>28.2</v>
      </c>
      <c r="H50" s="5">
        <f t="shared" si="4"/>
        <v>-0.41489361702127658</v>
      </c>
    </row>
    <row r="51" spans="1:8" ht="18.75" x14ac:dyDescent="0.3">
      <c r="A51" s="13"/>
      <c r="B51" s="13"/>
      <c r="C51" s="1" t="s">
        <v>61</v>
      </c>
      <c r="D51" s="3" t="s">
        <v>10</v>
      </c>
      <c r="E51" s="12">
        <v>23.5</v>
      </c>
      <c r="F51" s="1"/>
      <c r="G51" s="23">
        <v>43.25</v>
      </c>
      <c r="H51" s="5">
        <f t="shared" si="4"/>
        <v>-0.45664739884393069</v>
      </c>
    </row>
    <row r="52" spans="1:8" ht="18.75" x14ac:dyDescent="0.3">
      <c r="A52" s="13"/>
      <c r="B52" s="13"/>
      <c r="C52" s="1" t="s">
        <v>62</v>
      </c>
      <c r="D52" s="3" t="s">
        <v>10</v>
      </c>
      <c r="E52" s="11">
        <v>22.5</v>
      </c>
      <c r="F52" s="1"/>
      <c r="G52" s="23">
        <v>33.85</v>
      </c>
      <c r="H52" s="5">
        <f t="shared" si="4"/>
        <v>-0.33530280649926147</v>
      </c>
    </row>
    <row r="53" spans="1:8" ht="18.75" x14ac:dyDescent="0.3">
      <c r="A53" s="13"/>
      <c r="B53" s="13"/>
      <c r="C53" s="1" t="s">
        <v>63</v>
      </c>
      <c r="D53" s="3" t="s">
        <v>10</v>
      </c>
      <c r="E53" s="11">
        <v>33</v>
      </c>
      <c r="F53" s="1"/>
      <c r="G53" s="23">
        <v>48.9</v>
      </c>
      <c r="H53" s="5">
        <f t="shared" si="4"/>
        <v>-0.32515337423312884</v>
      </c>
    </row>
    <row r="54" spans="1:8" ht="18.75" x14ac:dyDescent="0.3">
      <c r="A54" s="13"/>
      <c r="B54" s="13"/>
      <c r="C54" s="1" t="s">
        <v>64</v>
      </c>
      <c r="D54" s="3" t="s">
        <v>6</v>
      </c>
      <c r="E54" s="12">
        <v>16.5</v>
      </c>
      <c r="F54" s="1"/>
      <c r="G54" s="23">
        <v>26.2</v>
      </c>
      <c r="H54" s="5">
        <f t="shared" si="4"/>
        <v>-0.37022900763358779</v>
      </c>
    </row>
    <row r="55" spans="1:8" ht="18.75" x14ac:dyDescent="0.3">
      <c r="A55" s="13"/>
      <c r="B55" s="13"/>
      <c r="C55" s="1" t="s">
        <v>65</v>
      </c>
      <c r="D55" s="3" t="s">
        <v>10</v>
      </c>
      <c r="E55" s="12">
        <v>30.5</v>
      </c>
      <c r="F55" s="1"/>
      <c r="G55" s="23">
        <v>46</v>
      </c>
      <c r="H55" s="5">
        <f t="shared" si="4"/>
        <v>-0.33695652173913049</v>
      </c>
    </row>
    <row r="56" spans="1:8" ht="18.75" x14ac:dyDescent="0.3">
      <c r="A56" s="13"/>
      <c r="B56" s="13"/>
      <c r="C56" s="1" t="s">
        <v>66</v>
      </c>
      <c r="D56" s="3" t="s">
        <v>10</v>
      </c>
      <c r="E56" s="12">
        <v>27.5</v>
      </c>
      <c r="F56" s="1"/>
      <c r="G56" s="23">
        <v>41</v>
      </c>
      <c r="H56" s="5">
        <f t="shared" si="4"/>
        <v>-0.32926829268292679</v>
      </c>
    </row>
    <row r="57" spans="1:8" ht="18.75" x14ac:dyDescent="0.3">
      <c r="A57" s="13"/>
      <c r="B57" s="13"/>
      <c r="C57" s="1" t="s">
        <v>67</v>
      </c>
      <c r="D57" s="3" t="s">
        <v>10</v>
      </c>
      <c r="E57" s="11">
        <v>31.5</v>
      </c>
      <c r="F57" s="1"/>
      <c r="G57" s="23">
        <v>46.6</v>
      </c>
      <c r="H57" s="5">
        <f t="shared" si="4"/>
        <v>-0.32403433476394849</v>
      </c>
    </row>
    <row r="58" spans="1:8" ht="18.75" x14ac:dyDescent="0.3">
      <c r="A58" s="13"/>
      <c r="B58" s="13"/>
      <c r="C58" s="22" t="s">
        <v>68</v>
      </c>
      <c r="D58" s="3" t="s">
        <v>10</v>
      </c>
      <c r="E58" s="11">
        <v>22</v>
      </c>
      <c r="F58" s="1"/>
      <c r="G58" s="23">
        <v>30</v>
      </c>
      <c r="H58" s="5">
        <f t="shared" si="4"/>
        <v>-0.26666666666666672</v>
      </c>
    </row>
    <row r="59" spans="1:8" ht="18.75" x14ac:dyDescent="0.3">
      <c r="A59" s="13"/>
      <c r="B59" s="13"/>
      <c r="C59" s="22" t="s">
        <v>69</v>
      </c>
      <c r="D59" s="3" t="s">
        <v>10</v>
      </c>
      <c r="E59" s="11">
        <v>26</v>
      </c>
      <c r="F59" s="1"/>
      <c r="G59" s="23">
        <v>37.299999999999997</v>
      </c>
      <c r="H59" s="5">
        <f t="shared" si="4"/>
        <v>-0.30294906166219837</v>
      </c>
    </row>
    <row r="60" spans="1:8" ht="18.75" x14ac:dyDescent="0.3">
      <c r="A60" s="13"/>
      <c r="B60" s="13"/>
      <c r="C60" s="1" t="s">
        <v>70</v>
      </c>
      <c r="D60" s="3" t="s">
        <v>6</v>
      </c>
      <c r="E60" s="11">
        <v>11.5</v>
      </c>
      <c r="F60" s="1"/>
      <c r="G60" s="23">
        <v>16.3</v>
      </c>
      <c r="H60" s="5">
        <f t="shared" si="4"/>
        <v>-0.29447852760736204</v>
      </c>
    </row>
    <row r="61" spans="1:8" ht="18.75" x14ac:dyDescent="0.3">
      <c r="A61" s="13"/>
      <c r="B61" s="13"/>
      <c r="C61" s="1" t="s">
        <v>71</v>
      </c>
      <c r="D61" s="3" t="s">
        <v>10</v>
      </c>
      <c r="E61" s="12">
        <v>21.65</v>
      </c>
      <c r="F61" s="1"/>
      <c r="G61" s="23">
        <v>21.65</v>
      </c>
      <c r="H61" s="5">
        <f t="shared" si="4"/>
        <v>0</v>
      </c>
    </row>
    <row r="62" spans="1:8" ht="18.75" x14ac:dyDescent="0.3">
      <c r="A62" s="13"/>
      <c r="B62" s="13"/>
      <c r="C62" s="20" t="s">
        <v>72</v>
      </c>
      <c r="D62" s="16" t="s">
        <v>10</v>
      </c>
      <c r="E62" s="19">
        <v>40.450000000000003</v>
      </c>
      <c r="F62" s="29" t="s">
        <v>42</v>
      </c>
      <c r="G62" s="21">
        <v>55</v>
      </c>
      <c r="H62" s="18">
        <f t="shared" si="4"/>
        <v>-0.26454545454545453</v>
      </c>
    </row>
    <row r="63" spans="1:8" ht="18.75" x14ac:dyDescent="0.3">
      <c r="C63" s="20" t="s">
        <v>73</v>
      </c>
      <c r="D63" s="16" t="s">
        <v>10</v>
      </c>
      <c r="E63" s="19">
        <v>55</v>
      </c>
      <c r="F63" s="29" t="s">
        <v>42</v>
      </c>
      <c r="G63" s="17">
        <v>65</v>
      </c>
      <c r="H63" s="18">
        <f t="shared" si="4"/>
        <v>-0.15384615384615385</v>
      </c>
    </row>
    <row r="64" spans="1:8" ht="18.75" x14ac:dyDescent="0.3">
      <c r="C64" s="20" t="s">
        <v>74</v>
      </c>
      <c r="D64" s="16" t="s">
        <v>10</v>
      </c>
      <c r="E64" s="19">
        <v>49.3</v>
      </c>
      <c r="F64" s="29" t="s">
        <v>42</v>
      </c>
      <c r="G64" s="17">
        <v>65</v>
      </c>
      <c r="H64" s="18">
        <f t="shared" si="4"/>
        <v>-0.24153846153846159</v>
      </c>
    </row>
    <row r="65" spans="1:8" ht="18.75" x14ac:dyDescent="0.3">
      <c r="C65" s="1" t="s">
        <v>75</v>
      </c>
      <c r="D65" s="3" t="s">
        <v>10</v>
      </c>
      <c r="E65" s="12">
        <v>39</v>
      </c>
      <c r="F65" s="30"/>
      <c r="G65" s="23">
        <v>65.95</v>
      </c>
      <c r="H65" s="5">
        <f t="shared" si="4"/>
        <v>-0.40864291129643671</v>
      </c>
    </row>
    <row r="66" spans="1:8" ht="18.75" x14ac:dyDescent="0.3">
      <c r="C66" s="1" t="s">
        <v>76</v>
      </c>
      <c r="D66" s="3" t="s">
        <v>10</v>
      </c>
      <c r="E66" s="12">
        <v>39</v>
      </c>
      <c r="F66" s="30"/>
      <c r="G66" s="23">
        <v>69.2</v>
      </c>
      <c r="H66" s="5">
        <f t="shared" si="4"/>
        <v>-0.43641618497109824</v>
      </c>
    </row>
    <row r="67" spans="1:8" ht="18.75" x14ac:dyDescent="0.3">
      <c r="C67" s="1" t="s">
        <v>77</v>
      </c>
      <c r="D67" s="3" t="s">
        <v>10</v>
      </c>
      <c r="E67" s="12">
        <v>56</v>
      </c>
      <c r="F67" s="30"/>
      <c r="G67" s="23">
        <v>73.5</v>
      </c>
      <c r="H67" s="5">
        <f t="shared" si="4"/>
        <v>-0.23809523809523814</v>
      </c>
    </row>
    <row r="68" spans="1:8" ht="18.75" x14ac:dyDescent="0.3">
      <c r="C68" s="1" t="s">
        <v>78</v>
      </c>
      <c r="D68" s="3" t="s">
        <v>10</v>
      </c>
      <c r="E68" s="12">
        <v>56</v>
      </c>
      <c r="F68" s="31"/>
      <c r="G68" s="23">
        <v>79.2</v>
      </c>
      <c r="H68" s="5">
        <f t="shared" si="4"/>
        <v>-0.29292929292929293</v>
      </c>
    </row>
    <row r="69" spans="1:8" ht="18.75" x14ac:dyDescent="0.3">
      <c r="C69" s="1" t="s">
        <v>79</v>
      </c>
      <c r="D69" s="3" t="s">
        <v>10</v>
      </c>
      <c r="E69" s="11">
        <v>53</v>
      </c>
      <c r="F69" s="30"/>
      <c r="G69" s="23">
        <v>78.62</v>
      </c>
      <c r="H69" s="5">
        <f t="shared" ref="H69:H101" si="6">E69/G69-1</f>
        <v>-0.32587127957262785</v>
      </c>
    </row>
    <row r="70" spans="1:8" ht="18.75" x14ac:dyDescent="0.3">
      <c r="C70" s="1" t="s">
        <v>80</v>
      </c>
      <c r="D70" s="3" t="s">
        <v>10</v>
      </c>
      <c r="E70" s="11">
        <v>6.4</v>
      </c>
      <c r="F70" s="30"/>
      <c r="G70" s="23">
        <v>8.8000000000000007</v>
      </c>
      <c r="H70" s="5">
        <f t="shared" si="6"/>
        <v>-0.27272727272727271</v>
      </c>
    </row>
    <row r="71" spans="1:8" ht="18.75" x14ac:dyDescent="0.3">
      <c r="C71" s="1" t="s">
        <v>81</v>
      </c>
      <c r="D71" s="3" t="s">
        <v>10</v>
      </c>
      <c r="E71" s="11">
        <v>5.8</v>
      </c>
      <c r="F71" s="30"/>
      <c r="G71" s="23">
        <v>8</v>
      </c>
      <c r="H71" s="5">
        <f t="shared" si="6"/>
        <v>-0.27500000000000002</v>
      </c>
    </row>
    <row r="72" spans="1:8" ht="18.75" x14ac:dyDescent="0.3">
      <c r="C72" s="1" t="s">
        <v>82</v>
      </c>
      <c r="D72" s="3" t="s">
        <v>6</v>
      </c>
      <c r="E72" s="12">
        <v>11.25</v>
      </c>
      <c r="F72" s="30"/>
      <c r="G72" s="23">
        <v>19.95</v>
      </c>
      <c r="H72" s="5">
        <f t="shared" si="6"/>
        <v>-0.43609022556390975</v>
      </c>
    </row>
    <row r="73" spans="1:8" ht="18.75" x14ac:dyDescent="0.3">
      <c r="C73" s="1" t="s">
        <v>83</v>
      </c>
      <c r="D73" s="3" t="s">
        <v>6</v>
      </c>
      <c r="E73" s="12">
        <v>12</v>
      </c>
      <c r="F73" s="30"/>
      <c r="G73" s="23">
        <v>25.2</v>
      </c>
      <c r="H73" s="5">
        <f t="shared" si="6"/>
        <v>-0.52380952380952372</v>
      </c>
    </row>
    <row r="74" spans="1:8" ht="18.75" x14ac:dyDescent="0.3">
      <c r="C74" s="1" t="s">
        <v>84</v>
      </c>
      <c r="D74" s="3" t="s">
        <v>6</v>
      </c>
      <c r="E74" s="12">
        <v>10.5</v>
      </c>
      <c r="F74" s="30"/>
      <c r="G74" s="23">
        <v>23.35</v>
      </c>
      <c r="H74" s="5">
        <f t="shared" si="6"/>
        <v>-0.550321199143469</v>
      </c>
    </row>
    <row r="75" spans="1:8" ht="18.75" x14ac:dyDescent="0.3">
      <c r="C75" s="2" t="s">
        <v>85</v>
      </c>
      <c r="D75" s="3" t="s">
        <v>6</v>
      </c>
      <c r="E75" s="11">
        <v>9.35</v>
      </c>
      <c r="F75" s="30"/>
      <c r="G75" s="23">
        <v>16.3</v>
      </c>
      <c r="H75" s="5">
        <f t="shared" si="6"/>
        <v>-0.4263803680981596</v>
      </c>
    </row>
    <row r="76" spans="1:8" ht="18.75" x14ac:dyDescent="0.3">
      <c r="C76" s="2" t="s">
        <v>86</v>
      </c>
      <c r="D76" s="7"/>
      <c r="E76" s="11">
        <v>42.5</v>
      </c>
      <c r="F76" s="30"/>
      <c r="G76" s="14">
        <v>45</v>
      </c>
      <c r="H76" s="5">
        <f t="shared" ref="H76:H77" si="7">E76/G76-1</f>
        <v>-5.555555555555558E-2</v>
      </c>
    </row>
    <row r="77" spans="1:8" ht="18.75" x14ac:dyDescent="0.3">
      <c r="A77" s="13"/>
      <c r="B77" s="13"/>
      <c r="C77" s="2" t="s">
        <v>87</v>
      </c>
      <c r="D77" s="7"/>
      <c r="E77" s="11">
        <v>42.5</v>
      </c>
      <c r="F77" s="30"/>
      <c r="G77" s="14">
        <v>45</v>
      </c>
      <c r="H77" s="5">
        <f t="shared" si="7"/>
        <v>-5.555555555555558E-2</v>
      </c>
    </row>
    <row r="78" spans="1:8" ht="18.75" x14ac:dyDescent="0.3">
      <c r="A78" s="13"/>
      <c r="B78" s="13"/>
      <c r="C78" s="1" t="s">
        <v>88</v>
      </c>
      <c r="D78" s="3" t="s">
        <v>10</v>
      </c>
      <c r="E78" s="12">
        <v>120</v>
      </c>
      <c r="F78" s="32" t="s">
        <v>89</v>
      </c>
      <c r="G78" s="23">
        <v>131</v>
      </c>
      <c r="H78" s="5">
        <f t="shared" si="6"/>
        <v>-8.3969465648854991E-2</v>
      </c>
    </row>
    <row r="79" spans="1:8" ht="18.75" x14ac:dyDescent="0.3">
      <c r="C79" s="1" t="s">
        <v>90</v>
      </c>
      <c r="D79" s="3" t="s">
        <v>10</v>
      </c>
      <c r="E79" s="12">
        <v>105</v>
      </c>
      <c r="F79" s="32" t="s">
        <v>89</v>
      </c>
      <c r="G79" s="23">
        <v>113</v>
      </c>
      <c r="H79" s="5">
        <f t="shared" si="6"/>
        <v>-7.0796460176991149E-2</v>
      </c>
    </row>
    <row r="80" spans="1:8" ht="18.75" x14ac:dyDescent="0.3">
      <c r="C80" s="1" t="s">
        <v>91</v>
      </c>
      <c r="D80" s="3" t="s">
        <v>10</v>
      </c>
      <c r="E80" s="12">
        <v>120</v>
      </c>
      <c r="F80" s="32" t="s">
        <v>89</v>
      </c>
      <c r="G80" s="23">
        <v>131</v>
      </c>
      <c r="H80" s="5">
        <f t="shared" si="6"/>
        <v>-8.3969465648854991E-2</v>
      </c>
    </row>
    <row r="81" spans="3:8" ht="18.75" x14ac:dyDescent="0.3">
      <c r="C81" s="1" t="s">
        <v>92</v>
      </c>
      <c r="D81" s="3" t="s">
        <v>10</v>
      </c>
      <c r="E81" s="12">
        <v>90</v>
      </c>
      <c r="F81" s="32" t="s">
        <v>89</v>
      </c>
      <c r="G81" s="23">
        <v>96</v>
      </c>
      <c r="H81" s="5">
        <f t="shared" si="6"/>
        <v>-6.25E-2</v>
      </c>
    </row>
    <row r="82" spans="3:8" ht="18.75" x14ac:dyDescent="0.3">
      <c r="C82" s="1" t="s">
        <v>93</v>
      </c>
      <c r="D82" s="3" t="s">
        <v>10</v>
      </c>
      <c r="E82" s="12">
        <v>75</v>
      </c>
      <c r="F82" s="32" t="s">
        <v>89</v>
      </c>
      <c r="G82" s="23">
        <v>78.5</v>
      </c>
      <c r="H82" s="5">
        <f t="shared" si="6"/>
        <v>-4.4585987261146487E-2</v>
      </c>
    </row>
    <row r="83" spans="3:8" ht="18.75" x14ac:dyDescent="0.3">
      <c r="C83" s="2" t="s">
        <v>94</v>
      </c>
      <c r="D83" s="3" t="s">
        <v>10</v>
      </c>
      <c r="E83" s="11">
        <v>33</v>
      </c>
      <c r="F83" s="30"/>
      <c r="G83" s="14">
        <v>0</v>
      </c>
      <c r="H83" s="5" t="e">
        <f t="shared" si="6"/>
        <v>#DIV/0!</v>
      </c>
    </row>
    <row r="84" spans="3:8" ht="18.75" x14ac:dyDescent="0.3">
      <c r="C84" s="1" t="s">
        <v>95</v>
      </c>
      <c r="D84" s="3" t="s">
        <v>25</v>
      </c>
      <c r="E84" s="11">
        <v>25</v>
      </c>
      <c r="F84" s="1"/>
      <c r="G84" s="23">
        <v>30.75</v>
      </c>
      <c r="H84" s="5">
        <f t="shared" si="6"/>
        <v>-0.18699186991869921</v>
      </c>
    </row>
    <row r="85" spans="3:8" ht="18.75" x14ac:dyDescent="0.3">
      <c r="C85" s="1" t="s">
        <v>96</v>
      </c>
      <c r="D85" s="3" t="s">
        <v>25</v>
      </c>
      <c r="E85" s="11">
        <v>35</v>
      </c>
      <c r="F85" s="1"/>
      <c r="G85" s="23">
        <v>43.05</v>
      </c>
      <c r="H85" s="5">
        <f t="shared" si="6"/>
        <v>-0.18699186991869909</v>
      </c>
    </row>
    <row r="86" spans="3:8" ht="18.75" x14ac:dyDescent="0.3">
      <c r="C86" s="1" t="s">
        <v>97</v>
      </c>
      <c r="D86" s="3" t="s">
        <v>46</v>
      </c>
      <c r="E86" s="11">
        <v>14.5</v>
      </c>
      <c r="F86" s="32" t="s">
        <v>89</v>
      </c>
      <c r="G86" s="23">
        <v>16.100000000000001</v>
      </c>
      <c r="H86" s="5">
        <f t="shared" si="6"/>
        <v>-9.9378881987577716E-2</v>
      </c>
    </row>
    <row r="87" spans="3:8" ht="18.75" x14ac:dyDescent="0.3">
      <c r="C87" s="1" t="s">
        <v>98</v>
      </c>
      <c r="D87" s="3" t="s">
        <v>46</v>
      </c>
      <c r="E87" s="12">
        <v>17.5</v>
      </c>
      <c r="F87" s="32" t="s">
        <v>89</v>
      </c>
      <c r="G87" s="23">
        <v>19.100000000000001</v>
      </c>
      <c r="H87" s="5">
        <f t="shared" si="6"/>
        <v>-8.3769633507853491E-2</v>
      </c>
    </row>
    <row r="88" spans="3:8" ht="18.75" x14ac:dyDescent="0.3">
      <c r="C88" s="1" t="s">
        <v>99</v>
      </c>
      <c r="D88" s="3" t="s">
        <v>46</v>
      </c>
      <c r="E88" s="12">
        <v>18.5</v>
      </c>
      <c r="F88" s="32" t="s">
        <v>89</v>
      </c>
      <c r="G88" s="23">
        <v>19.7</v>
      </c>
      <c r="H88" s="5">
        <f t="shared" si="6"/>
        <v>-6.0913705583756306E-2</v>
      </c>
    </row>
    <row r="89" spans="3:8" ht="18.75" x14ac:dyDescent="0.3">
      <c r="C89" s="1" t="s">
        <v>100</v>
      </c>
      <c r="D89" s="3" t="s">
        <v>46</v>
      </c>
      <c r="E89" s="12">
        <v>17.5</v>
      </c>
      <c r="F89" s="32" t="s">
        <v>89</v>
      </c>
      <c r="G89" s="23">
        <v>19.100000000000001</v>
      </c>
      <c r="H89" s="5">
        <f t="shared" si="6"/>
        <v>-8.3769633507853491E-2</v>
      </c>
    </row>
    <row r="90" spans="3:8" ht="18.75" x14ac:dyDescent="0.3">
      <c r="C90" s="1" t="s">
        <v>101</v>
      </c>
      <c r="D90" s="3" t="s">
        <v>46</v>
      </c>
      <c r="E90" s="12">
        <v>18.5</v>
      </c>
      <c r="F90" s="32" t="s">
        <v>89</v>
      </c>
      <c r="G90" s="23">
        <v>19.7</v>
      </c>
      <c r="H90" s="5">
        <f t="shared" si="6"/>
        <v>-6.0913705583756306E-2</v>
      </c>
    </row>
    <row r="91" spans="3:8" ht="18.75" x14ac:dyDescent="0.3">
      <c r="C91" s="1" t="s">
        <v>102</v>
      </c>
      <c r="D91" s="3" t="s">
        <v>46</v>
      </c>
      <c r="E91" s="12">
        <v>17.5</v>
      </c>
      <c r="F91" s="32" t="s">
        <v>89</v>
      </c>
      <c r="G91" s="23">
        <v>19.100000000000001</v>
      </c>
      <c r="H91" s="5">
        <f t="shared" si="6"/>
        <v>-8.3769633507853491E-2</v>
      </c>
    </row>
    <row r="92" spans="3:8" ht="18.75" x14ac:dyDescent="0.3">
      <c r="C92" s="1" t="s">
        <v>103</v>
      </c>
      <c r="D92" s="3" t="s">
        <v>46</v>
      </c>
      <c r="E92" s="12">
        <v>25</v>
      </c>
      <c r="F92" s="33" t="s">
        <v>104</v>
      </c>
      <c r="G92" s="23">
        <v>24.61</v>
      </c>
      <c r="H92" s="5">
        <f t="shared" si="6"/>
        <v>1.5847216578626533E-2</v>
      </c>
    </row>
    <row r="93" spans="3:8" ht="18.75" x14ac:dyDescent="0.3">
      <c r="C93" s="1" t="s">
        <v>105</v>
      </c>
      <c r="D93" s="3" t="s">
        <v>25</v>
      </c>
      <c r="E93" s="12">
        <v>35.5</v>
      </c>
      <c r="F93" s="30"/>
      <c r="G93" s="23">
        <v>49</v>
      </c>
      <c r="H93" s="5">
        <f t="shared" si="6"/>
        <v>-0.27551020408163263</v>
      </c>
    </row>
    <row r="94" spans="3:8" ht="18.75" x14ac:dyDescent="0.3">
      <c r="C94" s="1" t="s">
        <v>106</v>
      </c>
      <c r="D94" s="3" t="s">
        <v>25</v>
      </c>
      <c r="E94" s="11">
        <v>35.5</v>
      </c>
      <c r="F94" s="30"/>
      <c r="G94" s="23">
        <v>49</v>
      </c>
      <c r="H94" s="5">
        <f t="shared" si="6"/>
        <v>-0.27551020408163263</v>
      </c>
    </row>
    <row r="95" spans="3:8" ht="18.75" x14ac:dyDescent="0.3">
      <c r="C95" s="1" t="s">
        <v>107</v>
      </c>
      <c r="D95" s="3" t="s">
        <v>25</v>
      </c>
      <c r="E95" s="12">
        <v>42.5</v>
      </c>
      <c r="F95" s="30"/>
      <c r="G95" s="23">
        <v>49</v>
      </c>
      <c r="H95" s="5">
        <f t="shared" si="6"/>
        <v>-0.13265306122448983</v>
      </c>
    </row>
    <row r="96" spans="3:8" ht="18.75" x14ac:dyDescent="0.3">
      <c r="C96" s="1" t="s">
        <v>108</v>
      </c>
      <c r="D96" s="3" t="s">
        <v>25</v>
      </c>
      <c r="E96" s="12">
        <v>29.5</v>
      </c>
      <c r="F96" s="30"/>
      <c r="G96" s="23">
        <v>38.200000000000003</v>
      </c>
      <c r="H96" s="5">
        <f t="shared" si="6"/>
        <v>-0.22774869109947649</v>
      </c>
    </row>
    <row r="97" spans="3:8" ht="18.75" x14ac:dyDescent="0.3">
      <c r="C97" s="1" t="s">
        <v>109</v>
      </c>
      <c r="D97" s="3" t="s">
        <v>25</v>
      </c>
      <c r="E97" s="12">
        <v>45</v>
      </c>
      <c r="F97" s="30"/>
      <c r="G97" s="23">
        <v>49</v>
      </c>
      <c r="H97" s="5">
        <f t="shared" si="6"/>
        <v>-8.1632653061224469E-2</v>
      </c>
    </row>
    <row r="98" spans="3:8" ht="18.75" x14ac:dyDescent="0.3">
      <c r="C98" s="1" t="s">
        <v>110</v>
      </c>
      <c r="D98" s="3" t="s">
        <v>46</v>
      </c>
      <c r="E98" s="12">
        <v>60</v>
      </c>
      <c r="F98" s="30"/>
      <c r="G98" s="23">
        <v>92.5</v>
      </c>
      <c r="H98" s="5">
        <f t="shared" si="6"/>
        <v>-0.35135135135135132</v>
      </c>
    </row>
    <row r="99" spans="3:8" ht="18.75" x14ac:dyDescent="0.3">
      <c r="C99" s="1" t="s">
        <v>111</v>
      </c>
      <c r="D99" s="3" t="s">
        <v>10</v>
      </c>
      <c r="E99" s="12">
        <v>14</v>
      </c>
      <c r="F99" s="30"/>
      <c r="G99" s="23">
        <v>19.899999999999999</v>
      </c>
      <c r="H99" s="5">
        <f t="shared" si="6"/>
        <v>-0.29648241206030146</v>
      </c>
    </row>
    <row r="100" spans="3:8" ht="18.75" x14ac:dyDescent="0.3">
      <c r="C100" s="1" t="s">
        <v>112</v>
      </c>
      <c r="D100" s="3" t="s">
        <v>10</v>
      </c>
      <c r="E100" s="12">
        <v>14.5</v>
      </c>
      <c r="F100" s="30"/>
      <c r="G100" s="23">
        <v>23.25</v>
      </c>
      <c r="H100" s="5">
        <f t="shared" si="6"/>
        <v>-0.37634408602150538</v>
      </c>
    </row>
    <row r="101" spans="3:8" ht="18.75" x14ac:dyDescent="0.3">
      <c r="C101" s="1" t="s">
        <v>113</v>
      </c>
      <c r="D101" s="3" t="s">
        <v>10</v>
      </c>
      <c r="E101" s="12">
        <v>10</v>
      </c>
      <c r="F101" s="30"/>
      <c r="G101" s="23">
        <v>14.8</v>
      </c>
      <c r="H101" s="5">
        <f t="shared" si="6"/>
        <v>-0.32432432432432434</v>
      </c>
    </row>
    <row r="102" spans="3:8" ht="18.75" x14ac:dyDescent="0.3">
      <c r="C102" s="1" t="s">
        <v>114</v>
      </c>
      <c r="D102" s="3" t="s">
        <v>10</v>
      </c>
      <c r="E102" s="11">
        <v>12.5</v>
      </c>
      <c r="F102" s="30"/>
      <c r="G102" s="23">
        <v>18.5</v>
      </c>
      <c r="H102" s="5">
        <f t="shared" ref="H102:H143" si="8">E102/G102-1</f>
        <v>-0.32432432432432434</v>
      </c>
    </row>
    <row r="103" spans="3:8" ht="18.75" x14ac:dyDescent="0.3">
      <c r="C103" s="1" t="s">
        <v>115</v>
      </c>
      <c r="D103" s="3" t="s">
        <v>10</v>
      </c>
      <c r="E103" s="11">
        <v>9.5</v>
      </c>
      <c r="F103" s="30"/>
      <c r="G103" s="23">
        <v>12.4</v>
      </c>
      <c r="H103" s="5">
        <f t="shared" si="8"/>
        <v>-0.2338709677419355</v>
      </c>
    </row>
    <row r="104" spans="3:8" ht="18.75" x14ac:dyDescent="0.3">
      <c r="C104" s="1" t="s">
        <v>116</v>
      </c>
      <c r="D104" s="3" t="s">
        <v>10</v>
      </c>
      <c r="E104" s="11">
        <v>9</v>
      </c>
      <c r="F104" s="30"/>
      <c r="G104" s="23">
        <v>11.85</v>
      </c>
      <c r="H104" s="5">
        <f t="shared" si="8"/>
        <v>-0.240506329113924</v>
      </c>
    </row>
    <row r="105" spans="3:8" ht="18.75" x14ac:dyDescent="0.3">
      <c r="C105" s="1" t="s">
        <v>117</v>
      </c>
      <c r="D105" s="3" t="s">
        <v>10</v>
      </c>
      <c r="E105" s="11">
        <v>12.4</v>
      </c>
      <c r="F105" s="30"/>
      <c r="G105" s="23">
        <v>15.7</v>
      </c>
      <c r="H105" s="5">
        <f t="shared" si="8"/>
        <v>-0.21019108280254772</v>
      </c>
    </row>
    <row r="106" spans="3:8" ht="18.75" x14ac:dyDescent="0.3">
      <c r="C106" s="2" t="s">
        <v>118</v>
      </c>
      <c r="D106" s="3" t="s">
        <v>10</v>
      </c>
      <c r="E106" s="11">
        <v>12</v>
      </c>
      <c r="F106" s="30"/>
      <c r="G106" s="23">
        <v>17.100000000000001</v>
      </c>
      <c r="H106" s="5">
        <f t="shared" si="8"/>
        <v>-0.29824561403508776</v>
      </c>
    </row>
    <row r="107" spans="3:8" ht="18.75" x14ac:dyDescent="0.3">
      <c r="C107" s="2" t="s">
        <v>119</v>
      </c>
      <c r="D107" s="3" t="s">
        <v>10</v>
      </c>
      <c r="E107" s="11">
        <v>12.5</v>
      </c>
      <c r="F107" s="30"/>
      <c r="G107" s="23">
        <v>16.3</v>
      </c>
      <c r="H107" s="5">
        <f t="shared" si="8"/>
        <v>-0.23312883435582821</v>
      </c>
    </row>
    <row r="108" spans="3:8" ht="18.75" x14ac:dyDescent="0.3">
      <c r="C108" s="1" t="s">
        <v>120</v>
      </c>
      <c r="D108" s="3" t="s">
        <v>10</v>
      </c>
      <c r="E108" s="11">
        <v>10.5</v>
      </c>
      <c r="F108" s="30"/>
      <c r="G108" s="23">
        <v>15.7</v>
      </c>
      <c r="H108" s="5">
        <f t="shared" si="8"/>
        <v>-0.33121019108280247</v>
      </c>
    </row>
    <row r="109" spans="3:8" ht="18.75" x14ac:dyDescent="0.3">
      <c r="C109" s="1" t="s">
        <v>121</v>
      </c>
      <c r="D109" s="3" t="s">
        <v>6</v>
      </c>
      <c r="E109" s="12">
        <v>7</v>
      </c>
      <c r="F109" s="30"/>
      <c r="G109" s="23">
        <v>9.9</v>
      </c>
      <c r="H109" s="5">
        <f t="shared" si="8"/>
        <v>-0.29292929292929293</v>
      </c>
    </row>
    <row r="110" spans="3:8" ht="18.75" x14ac:dyDescent="0.3">
      <c r="C110" s="1" t="s">
        <v>122</v>
      </c>
      <c r="D110" s="3" t="s">
        <v>10</v>
      </c>
      <c r="E110" s="12">
        <v>6.8</v>
      </c>
      <c r="F110" s="30"/>
      <c r="G110" s="23">
        <v>10</v>
      </c>
      <c r="H110" s="5">
        <f t="shared" si="8"/>
        <v>-0.32000000000000006</v>
      </c>
    </row>
    <row r="111" spans="3:8" ht="18.75" x14ac:dyDescent="0.3">
      <c r="C111" s="1" t="s">
        <v>123</v>
      </c>
      <c r="D111" s="3" t="s">
        <v>10</v>
      </c>
      <c r="E111" s="11">
        <v>4.5999999999999996</v>
      </c>
      <c r="F111" s="30"/>
      <c r="G111" s="23">
        <v>6.25</v>
      </c>
      <c r="H111" s="5">
        <f t="shared" si="8"/>
        <v>-0.26400000000000001</v>
      </c>
    </row>
    <row r="112" spans="3:8" ht="18.75" x14ac:dyDescent="0.3">
      <c r="C112" s="1" t="s">
        <v>124</v>
      </c>
      <c r="D112" s="3" t="s">
        <v>10</v>
      </c>
      <c r="E112" s="12">
        <v>8</v>
      </c>
      <c r="F112" s="30"/>
      <c r="G112" s="23">
        <v>11.3</v>
      </c>
      <c r="H112" s="5">
        <f t="shared" si="8"/>
        <v>-0.29203539823008851</v>
      </c>
    </row>
    <row r="113" spans="3:8" ht="18.75" x14ac:dyDescent="0.3">
      <c r="C113" s="1" t="s">
        <v>125</v>
      </c>
      <c r="D113" s="3" t="s">
        <v>10</v>
      </c>
      <c r="E113" s="12">
        <v>5</v>
      </c>
      <c r="F113" s="30"/>
      <c r="G113" s="23">
        <v>7.5</v>
      </c>
      <c r="H113" s="5">
        <f t="shared" si="8"/>
        <v>-0.33333333333333337</v>
      </c>
    </row>
    <row r="114" spans="3:8" ht="18.75" x14ac:dyDescent="0.3">
      <c r="C114" s="1" t="s">
        <v>126</v>
      </c>
      <c r="D114" s="3" t="s">
        <v>25</v>
      </c>
      <c r="E114" s="12">
        <v>16.8</v>
      </c>
      <c r="F114" s="30"/>
      <c r="G114" s="23">
        <v>18.25</v>
      </c>
      <c r="H114" s="5">
        <f t="shared" si="8"/>
        <v>-7.9452054794520555E-2</v>
      </c>
    </row>
    <row r="115" spans="3:8" ht="18.75" x14ac:dyDescent="0.3">
      <c r="C115" s="1" t="s">
        <v>127</v>
      </c>
      <c r="D115" s="3" t="s">
        <v>6</v>
      </c>
      <c r="E115" s="12">
        <v>6.25</v>
      </c>
      <c r="F115" s="30"/>
      <c r="G115" s="23">
        <v>8.5500000000000007</v>
      </c>
      <c r="H115" s="5">
        <f t="shared" si="8"/>
        <v>-0.26900584795321647</v>
      </c>
    </row>
    <row r="116" spans="3:8" ht="18.75" x14ac:dyDescent="0.3">
      <c r="C116" s="1" t="s">
        <v>128</v>
      </c>
      <c r="D116" s="3" t="s">
        <v>6</v>
      </c>
      <c r="E116" s="12">
        <v>14</v>
      </c>
      <c r="F116" s="30"/>
      <c r="G116" s="23">
        <v>19.600000000000001</v>
      </c>
      <c r="H116" s="5">
        <f t="shared" si="8"/>
        <v>-0.28571428571428581</v>
      </c>
    </row>
    <row r="117" spans="3:8" ht="18.75" x14ac:dyDescent="0.3">
      <c r="C117" s="1" t="s">
        <v>129</v>
      </c>
      <c r="D117" s="3" t="s">
        <v>25</v>
      </c>
      <c r="E117" s="12">
        <v>22</v>
      </c>
      <c r="F117" s="1"/>
      <c r="G117" s="23">
        <v>25.7</v>
      </c>
      <c r="H117" s="5">
        <f t="shared" si="8"/>
        <v>-0.14396887159533067</v>
      </c>
    </row>
    <row r="118" spans="3:8" ht="18.75" x14ac:dyDescent="0.3">
      <c r="C118" s="1" t="s">
        <v>130</v>
      </c>
      <c r="D118" s="3" t="s">
        <v>56</v>
      </c>
      <c r="E118" s="12">
        <v>40</v>
      </c>
      <c r="F118" s="30"/>
      <c r="G118" s="23">
        <v>43.05</v>
      </c>
      <c r="H118" s="5">
        <f t="shared" si="8"/>
        <v>-7.0847851335656187E-2</v>
      </c>
    </row>
    <row r="119" spans="3:8" ht="18.75" x14ac:dyDescent="0.3">
      <c r="C119" s="1" t="s">
        <v>131</v>
      </c>
      <c r="D119" s="3" t="s">
        <v>10</v>
      </c>
      <c r="E119" s="12">
        <v>12.75</v>
      </c>
      <c r="F119" s="30"/>
      <c r="G119" s="23">
        <v>17.350000000000001</v>
      </c>
      <c r="H119" s="5">
        <f t="shared" si="8"/>
        <v>-0.26512968299711825</v>
      </c>
    </row>
    <row r="120" spans="3:8" ht="18.75" x14ac:dyDescent="0.3">
      <c r="C120" s="1" t="s">
        <v>132</v>
      </c>
      <c r="D120" s="3" t="s">
        <v>25</v>
      </c>
      <c r="E120" s="7">
        <v>15.5</v>
      </c>
      <c r="F120" s="29" t="s">
        <v>42</v>
      </c>
      <c r="G120" s="23">
        <v>15.5</v>
      </c>
      <c r="H120" s="5">
        <f t="shared" si="8"/>
        <v>0</v>
      </c>
    </row>
    <row r="121" spans="3:8" ht="18.75" x14ac:dyDescent="0.3">
      <c r="C121" s="1" t="s">
        <v>133</v>
      </c>
      <c r="D121" s="3" t="s">
        <v>25</v>
      </c>
      <c r="E121" s="4">
        <v>15.5</v>
      </c>
      <c r="F121" s="29" t="s">
        <v>42</v>
      </c>
      <c r="G121" s="23">
        <v>15.5</v>
      </c>
      <c r="H121" s="5">
        <f t="shared" si="8"/>
        <v>0</v>
      </c>
    </row>
    <row r="122" spans="3:8" ht="18.75" x14ac:dyDescent="0.3">
      <c r="C122" s="1" t="s">
        <v>134</v>
      </c>
      <c r="D122" s="3" t="s">
        <v>10</v>
      </c>
      <c r="E122" s="12">
        <v>16.5</v>
      </c>
      <c r="F122" s="30"/>
      <c r="G122" s="23">
        <v>24.5</v>
      </c>
      <c r="H122" s="5">
        <f t="shared" si="8"/>
        <v>-0.32653061224489799</v>
      </c>
    </row>
    <row r="123" spans="3:8" ht="18.75" x14ac:dyDescent="0.3">
      <c r="C123" s="1" t="s">
        <v>135</v>
      </c>
      <c r="D123" s="3" t="s">
        <v>10</v>
      </c>
      <c r="E123" s="12">
        <v>8.5</v>
      </c>
      <c r="F123" s="30"/>
      <c r="G123" s="23">
        <v>12</v>
      </c>
      <c r="H123" s="5">
        <f t="shared" si="8"/>
        <v>-0.29166666666666663</v>
      </c>
    </row>
    <row r="124" spans="3:8" ht="18.75" x14ac:dyDescent="0.3">
      <c r="C124" s="1" t="s">
        <v>136</v>
      </c>
      <c r="D124" s="3" t="s">
        <v>25</v>
      </c>
      <c r="E124" s="4">
        <v>15.5</v>
      </c>
      <c r="F124" s="29" t="s">
        <v>42</v>
      </c>
      <c r="G124" s="23">
        <v>15.5</v>
      </c>
      <c r="H124" s="5">
        <f t="shared" si="8"/>
        <v>0</v>
      </c>
    </row>
    <row r="125" spans="3:8" ht="18.75" x14ac:dyDescent="0.3">
      <c r="C125" s="1" t="s">
        <v>137</v>
      </c>
      <c r="D125" s="3" t="s">
        <v>6</v>
      </c>
      <c r="E125" s="4">
        <v>3</v>
      </c>
      <c r="F125" s="29" t="s">
        <v>42</v>
      </c>
      <c r="G125" s="23">
        <v>3</v>
      </c>
      <c r="H125" s="5">
        <f t="shared" si="8"/>
        <v>0</v>
      </c>
    </row>
    <row r="126" spans="3:8" ht="18.75" x14ac:dyDescent="0.3">
      <c r="C126" s="1" t="s">
        <v>138</v>
      </c>
      <c r="D126" s="3" t="s">
        <v>6</v>
      </c>
      <c r="E126" s="12">
        <v>9.5</v>
      </c>
      <c r="F126" s="30"/>
      <c r="G126" s="23">
        <v>14.8</v>
      </c>
      <c r="H126" s="5">
        <f t="shared" si="8"/>
        <v>-0.35810810810810811</v>
      </c>
    </row>
    <row r="127" spans="3:8" ht="18.75" x14ac:dyDescent="0.3">
      <c r="C127" s="1" t="s">
        <v>139</v>
      </c>
      <c r="D127" s="3" t="s">
        <v>10</v>
      </c>
      <c r="E127" s="12">
        <v>16.5</v>
      </c>
      <c r="F127" s="1"/>
      <c r="G127" s="23">
        <v>30.2</v>
      </c>
      <c r="H127" s="5">
        <f t="shared" si="8"/>
        <v>-0.45364238410596025</v>
      </c>
    </row>
    <row r="128" spans="3:8" ht="18.75" x14ac:dyDescent="0.3">
      <c r="C128" s="1" t="s">
        <v>140</v>
      </c>
      <c r="D128" s="3" t="s">
        <v>25</v>
      </c>
      <c r="E128" s="12">
        <v>65</v>
      </c>
      <c r="F128" s="30"/>
      <c r="G128" s="23">
        <v>93.5</v>
      </c>
      <c r="H128" s="5">
        <f t="shared" si="8"/>
        <v>-0.30481283422459893</v>
      </c>
    </row>
    <row r="129" spans="3:8" ht="18.75" x14ac:dyDescent="0.3">
      <c r="C129" s="1" t="s">
        <v>141</v>
      </c>
      <c r="D129" s="3" t="s">
        <v>25</v>
      </c>
      <c r="E129" s="12">
        <v>55</v>
      </c>
      <c r="F129" s="30"/>
      <c r="G129" s="23">
        <v>69.5</v>
      </c>
      <c r="H129" s="5">
        <f t="shared" si="8"/>
        <v>-0.20863309352517989</v>
      </c>
    </row>
    <row r="130" spans="3:8" ht="18.75" x14ac:dyDescent="0.3">
      <c r="C130" s="1" t="s">
        <v>142</v>
      </c>
      <c r="D130" s="3" t="s">
        <v>6</v>
      </c>
      <c r="E130" s="12">
        <v>47.5</v>
      </c>
      <c r="F130" s="30"/>
      <c r="G130" s="23">
        <v>62.7</v>
      </c>
      <c r="H130" s="5">
        <f t="shared" si="8"/>
        <v>-0.24242424242424243</v>
      </c>
    </row>
    <row r="131" spans="3:8" ht="18.75" x14ac:dyDescent="0.3">
      <c r="C131" s="1" t="s">
        <v>143</v>
      </c>
      <c r="D131" s="3" t="s">
        <v>6</v>
      </c>
      <c r="E131" s="12">
        <v>37.5</v>
      </c>
      <c r="F131" s="30"/>
      <c r="G131" s="23">
        <v>44.25</v>
      </c>
      <c r="H131" s="5">
        <f t="shared" si="8"/>
        <v>-0.15254237288135597</v>
      </c>
    </row>
    <row r="132" spans="3:8" ht="18.75" x14ac:dyDescent="0.3">
      <c r="C132" s="1" t="s">
        <v>144</v>
      </c>
      <c r="D132" s="3" t="s">
        <v>6</v>
      </c>
      <c r="E132" s="12">
        <v>100</v>
      </c>
      <c r="F132" s="30"/>
      <c r="G132" s="23">
        <v>133.9</v>
      </c>
      <c r="H132" s="5">
        <f t="shared" si="8"/>
        <v>-0.25317401045556387</v>
      </c>
    </row>
    <row r="133" spans="3:8" ht="18.75" x14ac:dyDescent="0.3">
      <c r="C133" s="1" t="s">
        <v>145</v>
      </c>
      <c r="D133" s="7"/>
      <c r="E133" s="11">
        <v>135</v>
      </c>
      <c r="F133" s="30"/>
      <c r="G133" s="23">
        <v>170.9</v>
      </c>
      <c r="H133" s="5">
        <f t="shared" si="8"/>
        <v>-0.21006436512580462</v>
      </c>
    </row>
    <row r="134" spans="3:8" ht="18.75" x14ac:dyDescent="0.3">
      <c r="C134" s="1" t="s">
        <v>146</v>
      </c>
      <c r="D134" s="3" t="s">
        <v>6</v>
      </c>
      <c r="E134" s="12">
        <v>36.5</v>
      </c>
      <c r="F134" s="30"/>
      <c r="G134" s="23">
        <v>46.8</v>
      </c>
      <c r="H134" s="5">
        <f t="shared" si="8"/>
        <v>-0.22008547008547008</v>
      </c>
    </row>
    <row r="135" spans="3:8" ht="18.75" x14ac:dyDescent="0.3">
      <c r="C135" s="1" t="s">
        <v>147</v>
      </c>
      <c r="D135" s="3" t="s">
        <v>6</v>
      </c>
      <c r="E135" s="12">
        <v>52.5</v>
      </c>
      <c r="F135" s="30"/>
      <c r="G135" s="23">
        <v>76.5</v>
      </c>
      <c r="H135" s="5">
        <f t="shared" si="8"/>
        <v>-0.31372549019607843</v>
      </c>
    </row>
    <row r="136" spans="3:8" ht="18.75" x14ac:dyDescent="0.3">
      <c r="C136" s="1" t="s">
        <v>148</v>
      </c>
      <c r="D136" s="3" t="s">
        <v>6</v>
      </c>
      <c r="E136" s="12">
        <v>42.5</v>
      </c>
      <c r="F136" s="30"/>
      <c r="G136" s="23">
        <v>69</v>
      </c>
      <c r="H136" s="5">
        <f t="shared" si="8"/>
        <v>-0.38405797101449279</v>
      </c>
    </row>
    <row r="137" spans="3:8" ht="18.75" x14ac:dyDescent="0.3">
      <c r="C137" s="1" t="s">
        <v>149</v>
      </c>
      <c r="D137" s="3" t="s">
        <v>6</v>
      </c>
      <c r="E137" s="12">
        <v>42.5</v>
      </c>
      <c r="F137" s="30"/>
      <c r="G137" s="23">
        <v>69</v>
      </c>
      <c r="H137" s="5">
        <f t="shared" si="8"/>
        <v>-0.38405797101449279</v>
      </c>
    </row>
    <row r="138" spans="3:8" ht="18.75" x14ac:dyDescent="0.3">
      <c r="C138" s="1" t="s">
        <v>150</v>
      </c>
      <c r="D138" s="3" t="s">
        <v>6</v>
      </c>
      <c r="E138" s="12">
        <v>46.5</v>
      </c>
      <c r="F138" s="30"/>
      <c r="G138" s="23">
        <v>75</v>
      </c>
      <c r="H138" s="5">
        <f t="shared" si="8"/>
        <v>-0.38</v>
      </c>
    </row>
    <row r="139" spans="3:8" ht="18.75" x14ac:dyDescent="0.3">
      <c r="C139" s="1" t="s">
        <v>151</v>
      </c>
      <c r="D139" s="3" t="s">
        <v>6</v>
      </c>
      <c r="E139" s="12">
        <v>46.5</v>
      </c>
      <c r="F139" s="30"/>
      <c r="G139" s="23">
        <v>73</v>
      </c>
      <c r="H139" s="5">
        <f t="shared" si="8"/>
        <v>-0.36301369863013699</v>
      </c>
    </row>
    <row r="140" spans="3:8" ht="18.75" x14ac:dyDescent="0.3">
      <c r="C140" s="1" t="s">
        <v>152</v>
      </c>
      <c r="D140" s="3" t="s">
        <v>25</v>
      </c>
      <c r="E140" s="11">
        <v>65</v>
      </c>
      <c r="F140" s="30"/>
      <c r="G140" s="23">
        <v>62.7</v>
      </c>
      <c r="H140" s="5">
        <f t="shared" si="8"/>
        <v>3.6682615629983983E-2</v>
      </c>
    </row>
    <row r="141" spans="3:8" ht="18.75" x14ac:dyDescent="0.3">
      <c r="C141" s="1" t="s">
        <v>153</v>
      </c>
      <c r="D141" s="3" t="s">
        <v>25</v>
      </c>
      <c r="E141" s="12">
        <v>60</v>
      </c>
      <c r="F141" s="30"/>
      <c r="G141" s="23">
        <v>56.9</v>
      </c>
      <c r="H141" s="5">
        <f t="shared" si="8"/>
        <v>5.4481546572934914E-2</v>
      </c>
    </row>
    <row r="142" spans="3:8" ht="18.75" x14ac:dyDescent="0.3">
      <c r="C142" s="1" t="s">
        <v>154</v>
      </c>
      <c r="D142" s="3" t="s">
        <v>25</v>
      </c>
      <c r="E142" s="12">
        <v>42.5</v>
      </c>
      <c r="F142" s="30"/>
      <c r="G142" s="23">
        <v>48.5</v>
      </c>
      <c r="H142" s="5">
        <f t="shared" si="8"/>
        <v>-0.12371134020618557</v>
      </c>
    </row>
    <row r="143" spans="3:8" ht="18.75" x14ac:dyDescent="0.3">
      <c r="C143" s="1" t="s">
        <v>155</v>
      </c>
      <c r="D143" s="3" t="s">
        <v>25</v>
      </c>
      <c r="E143" s="12">
        <v>75</v>
      </c>
      <c r="F143" s="29" t="s">
        <v>42</v>
      </c>
      <c r="G143" s="23">
        <v>75</v>
      </c>
      <c r="H143" s="5">
        <f t="shared" si="8"/>
        <v>0</v>
      </c>
    </row>
    <row r="144" spans="3:8" x14ac:dyDescent="0.25">
      <c r="C144" s="30"/>
      <c r="D144" s="30"/>
      <c r="E144" s="30"/>
      <c r="F144" s="30"/>
      <c r="G144" s="30"/>
      <c r="H144" s="30"/>
    </row>
  </sheetData>
  <sortState xmlns:xlrd2="http://schemas.microsoft.com/office/spreadsheetml/2017/richdata2" ref="A2:E143">
    <sortCondition ref="C2:C143"/>
  </sortState>
  <printOptions gridLines="1"/>
  <pageMargins left="0.31496062992125984" right="0.31496062992125984" top="0.35433070866141736" bottom="0.35433070866141736" header="0.31496062992125984" footer="0.31496062992125984"/>
  <pageSetup paperSize="9" scale="83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F8287A-0083-46A4-9D28-A03F3E4CEABB}">
  <dimension ref="A1:D143"/>
  <sheetViews>
    <sheetView tabSelected="1" workbookViewId="0">
      <selection activeCell="A2" sqref="A2:D143"/>
    </sheetView>
  </sheetViews>
  <sheetFormatPr defaultRowHeight="15" x14ac:dyDescent="0.25"/>
  <cols>
    <col min="1" max="1" width="15.28515625" customWidth="1"/>
    <col min="2" max="2" width="105.85546875" bestFit="1" customWidth="1"/>
    <col min="3" max="3" width="5.85546875" bestFit="1" customWidth="1"/>
    <col min="4" max="4" width="12.85546875" bestFit="1" customWidth="1"/>
  </cols>
  <sheetData>
    <row r="1" spans="1:4" ht="18.75" x14ac:dyDescent="0.3">
      <c r="A1" s="34" t="s">
        <v>156</v>
      </c>
      <c r="B1" s="34" t="s">
        <v>0</v>
      </c>
      <c r="C1" s="34" t="s">
        <v>1</v>
      </c>
      <c r="D1" s="34" t="s">
        <v>2</v>
      </c>
    </row>
    <row r="2" spans="1:4" ht="18.75" x14ac:dyDescent="0.3">
      <c r="A2" s="42" t="s">
        <v>157</v>
      </c>
      <c r="B2" s="35" t="s">
        <v>5</v>
      </c>
      <c r="C2" s="36" t="s">
        <v>6</v>
      </c>
      <c r="D2" s="37">
        <v>14</v>
      </c>
    </row>
    <row r="3" spans="1:4" ht="18.75" x14ac:dyDescent="0.3">
      <c r="A3" s="42" t="s">
        <v>158</v>
      </c>
      <c r="B3" s="38" t="s">
        <v>7</v>
      </c>
      <c r="C3" s="36" t="s">
        <v>6</v>
      </c>
      <c r="D3" s="39">
        <v>16.5</v>
      </c>
    </row>
    <row r="4" spans="1:4" ht="18.75" x14ac:dyDescent="0.3">
      <c r="A4" s="42" t="s">
        <v>159</v>
      </c>
      <c r="B4" s="35" t="s">
        <v>8</v>
      </c>
      <c r="C4" s="36" t="s">
        <v>6</v>
      </c>
      <c r="D4" s="4">
        <v>42.5</v>
      </c>
    </row>
    <row r="5" spans="1:4" ht="18.75" x14ac:dyDescent="0.3">
      <c r="A5" s="42" t="s">
        <v>160</v>
      </c>
      <c r="B5" s="35" t="s">
        <v>9</v>
      </c>
      <c r="C5" s="36" t="s">
        <v>10</v>
      </c>
      <c r="D5" s="4">
        <v>23</v>
      </c>
    </row>
    <row r="6" spans="1:4" ht="18.75" x14ac:dyDescent="0.3">
      <c r="A6" s="42" t="s">
        <v>161</v>
      </c>
      <c r="B6" s="40" t="s">
        <v>11</v>
      </c>
      <c r="C6" s="36" t="s">
        <v>10</v>
      </c>
      <c r="D6" s="4">
        <v>29.5</v>
      </c>
    </row>
    <row r="7" spans="1:4" ht="18.75" x14ac:dyDescent="0.3">
      <c r="A7" s="42" t="s">
        <v>162</v>
      </c>
      <c r="B7" s="38" t="s">
        <v>12</v>
      </c>
      <c r="C7" s="36" t="s">
        <v>10</v>
      </c>
      <c r="D7" s="4">
        <v>29.5</v>
      </c>
    </row>
    <row r="8" spans="1:4" ht="18.75" x14ac:dyDescent="0.3">
      <c r="A8" s="42" t="s">
        <v>163</v>
      </c>
      <c r="B8" s="35" t="s">
        <v>13</v>
      </c>
      <c r="C8" s="36" t="s">
        <v>10</v>
      </c>
      <c r="D8" s="4">
        <v>22.5</v>
      </c>
    </row>
    <row r="9" spans="1:4" ht="18.75" x14ac:dyDescent="0.3">
      <c r="A9" s="42" t="s">
        <v>164</v>
      </c>
      <c r="B9" s="35" t="s">
        <v>14</v>
      </c>
      <c r="C9" s="36" t="s">
        <v>10</v>
      </c>
      <c r="D9" s="4">
        <v>7.85</v>
      </c>
    </row>
    <row r="10" spans="1:4" ht="18.75" x14ac:dyDescent="0.3">
      <c r="A10" s="42" t="s">
        <v>165</v>
      </c>
      <c r="B10" s="35" t="s">
        <v>15</v>
      </c>
      <c r="C10" s="36" t="s">
        <v>6</v>
      </c>
      <c r="D10" s="4">
        <v>10.5</v>
      </c>
    </row>
    <row r="11" spans="1:4" ht="18.75" x14ac:dyDescent="0.3">
      <c r="A11" s="42" t="s">
        <v>166</v>
      </c>
      <c r="B11" s="38" t="s">
        <v>16</v>
      </c>
      <c r="C11" s="36" t="s">
        <v>10</v>
      </c>
      <c r="D11" s="4">
        <v>11</v>
      </c>
    </row>
    <row r="12" spans="1:4" ht="18.75" x14ac:dyDescent="0.3">
      <c r="A12" s="42" t="s">
        <v>167</v>
      </c>
      <c r="B12" s="35" t="s">
        <v>17</v>
      </c>
      <c r="C12" s="36" t="s">
        <v>10</v>
      </c>
      <c r="D12" s="4">
        <v>5</v>
      </c>
    </row>
    <row r="13" spans="1:4" ht="18.75" x14ac:dyDescent="0.3">
      <c r="A13" s="42" t="s">
        <v>168</v>
      </c>
      <c r="B13" s="35" t="s">
        <v>18</v>
      </c>
      <c r="C13" s="36" t="s">
        <v>10</v>
      </c>
      <c r="D13" s="4">
        <v>9.5</v>
      </c>
    </row>
    <row r="14" spans="1:4" ht="18.75" x14ac:dyDescent="0.3">
      <c r="A14" s="42" t="s">
        <v>169</v>
      </c>
      <c r="B14" s="35" t="s">
        <v>19</v>
      </c>
      <c r="C14" s="36" t="s">
        <v>10</v>
      </c>
      <c r="D14" s="4">
        <v>7.5</v>
      </c>
    </row>
    <row r="15" spans="1:4" ht="18.75" x14ac:dyDescent="0.3">
      <c r="A15" s="42" t="s">
        <v>170</v>
      </c>
      <c r="B15" s="35" t="s">
        <v>20</v>
      </c>
      <c r="C15" s="36" t="s">
        <v>10</v>
      </c>
      <c r="D15" s="4">
        <v>10</v>
      </c>
    </row>
    <row r="16" spans="1:4" ht="18.75" x14ac:dyDescent="0.3">
      <c r="A16" s="42" t="s">
        <v>171</v>
      </c>
      <c r="B16" s="35" t="s">
        <v>21</v>
      </c>
      <c r="C16" s="36" t="s">
        <v>10</v>
      </c>
      <c r="D16" s="4">
        <v>17.5</v>
      </c>
    </row>
    <row r="17" spans="1:4" ht="18.75" x14ac:dyDescent="0.3">
      <c r="A17" s="42" t="s">
        <v>172</v>
      </c>
      <c r="B17" s="35" t="s">
        <v>22</v>
      </c>
      <c r="C17" s="36" t="s">
        <v>6</v>
      </c>
      <c r="D17" s="4">
        <v>22</v>
      </c>
    </row>
    <row r="18" spans="1:4" ht="18.75" x14ac:dyDescent="0.3">
      <c r="A18" s="42" t="s">
        <v>173</v>
      </c>
      <c r="B18" s="35" t="s">
        <v>23</v>
      </c>
      <c r="C18" s="36" t="s">
        <v>10</v>
      </c>
      <c r="D18" s="4">
        <v>4</v>
      </c>
    </row>
    <row r="19" spans="1:4" ht="18.75" x14ac:dyDescent="0.3">
      <c r="A19" s="42" t="s">
        <v>174</v>
      </c>
      <c r="B19" s="35" t="s">
        <v>24</v>
      </c>
      <c r="C19" s="36" t="s">
        <v>25</v>
      </c>
      <c r="D19" s="4">
        <v>39.5</v>
      </c>
    </row>
    <row r="20" spans="1:4" ht="18.75" x14ac:dyDescent="0.3">
      <c r="A20" s="42" t="s">
        <v>175</v>
      </c>
      <c r="B20" s="35" t="s">
        <v>26</v>
      </c>
      <c r="C20" s="36" t="s">
        <v>25</v>
      </c>
      <c r="D20" s="4">
        <v>39.5</v>
      </c>
    </row>
    <row r="21" spans="1:4" ht="18.75" x14ac:dyDescent="0.3">
      <c r="A21" s="42" t="s">
        <v>176</v>
      </c>
      <c r="B21" s="35" t="s">
        <v>27</v>
      </c>
      <c r="C21" s="36" t="s">
        <v>25</v>
      </c>
      <c r="D21" s="4">
        <v>95</v>
      </c>
    </row>
    <row r="22" spans="1:4" ht="18.75" x14ac:dyDescent="0.3">
      <c r="A22" s="42" t="s">
        <v>177</v>
      </c>
      <c r="B22" s="38" t="s">
        <v>28</v>
      </c>
      <c r="C22" s="36" t="s">
        <v>25</v>
      </c>
      <c r="D22" s="4">
        <v>32.5</v>
      </c>
    </row>
    <row r="23" spans="1:4" ht="18.75" x14ac:dyDescent="0.3">
      <c r="A23" s="42" t="s">
        <v>178</v>
      </c>
      <c r="B23" s="35" t="s">
        <v>29</v>
      </c>
      <c r="C23" s="36" t="s">
        <v>25</v>
      </c>
      <c r="D23" s="4">
        <v>39.5</v>
      </c>
    </row>
    <row r="24" spans="1:4" ht="18.75" x14ac:dyDescent="0.3">
      <c r="A24" s="42" t="s">
        <v>179</v>
      </c>
      <c r="B24" s="35" t="s">
        <v>30</v>
      </c>
      <c r="C24" s="36" t="s">
        <v>6</v>
      </c>
      <c r="D24" s="4">
        <v>4.5</v>
      </c>
    </row>
    <row r="25" spans="1:4" ht="18.75" x14ac:dyDescent="0.3">
      <c r="A25" s="42" t="s">
        <v>180</v>
      </c>
      <c r="B25" s="38" t="s">
        <v>31</v>
      </c>
      <c r="C25" s="36" t="s">
        <v>10</v>
      </c>
      <c r="D25" s="4">
        <v>14</v>
      </c>
    </row>
    <row r="26" spans="1:4" ht="18.75" x14ac:dyDescent="0.3">
      <c r="A26" s="42" t="s">
        <v>181</v>
      </c>
      <c r="B26" s="38" t="s">
        <v>32</v>
      </c>
      <c r="C26" s="36" t="s">
        <v>10</v>
      </c>
      <c r="D26" s="4">
        <v>12.5</v>
      </c>
    </row>
    <row r="27" spans="1:4" ht="18.75" x14ac:dyDescent="0.3">
      <c r="A27" s="42" t="s">
        <v>182</v>
      </c>
      <c r="B27" s="38" t="s">
        <v>33</v>
      </c>
      <c r="C27" s="36" t="s">
        <v>10</v>
      </c>
      <c r="D27" s="4">
        <v>15</v>
      </c>
    </row>
    <row r="28" spans="1:4" ht="18.75" x14ac:dyDescent="0.3">
      <c r="A28" s="42" t="s">
        <v>183</v>
      </c>
      <c r="B28" s="38" t="s">
        <v>34</v>
      </c>
      <c r="C28" s="36" t="s">
        <v>10</v>
      </c>
      <c r="D28" s="4">
        <v>6.15</v>
      </c>
    </row>
    <row r="29" spans="1:4" ht="18.75" x14ac:dyDescent="0.3">
      <c r="A29" s="42" t="s">
        <v>184</v>
      </c>
      <c r="B29" s="38" t="s">
        <v>35</v>
      </c>
      <c r="C29" s="36" t="s">
        <v>10</v>
      </c>
      <c r="D29" s="4">
        <v>5</v>
      </c>
    </row>
    <row r="30" spans="1:4" ht="18.75" x14ac:dyDescent="0.3">
      <c r="A30" s="42" t="s">
        <v>185</v>
      </c>
      <c r="B30" s="35" t="s">
        <v>36</v>
      </c>
      <c r="C30" s="36" t="s">
        <v>10</v>
      </c>
      <c r="D30" s="4">
        <v>18.5</v>
      </c>
    </row>
    <row r="31" spans="1:4" ht="18.75" x14ac:dyDescent="0.3">
      <c r="A31" s="42" t="s">
        <v>186</v>
      </c>
      <c r="B31" s="35" t="s">
        <v>37</v>
      </c>
      <c r="C31" s="36" t="s">
        <v>25</v>
      </c>
      <c r="D31" s="4">
        <v>130</v>
      </c>
    </row>
    <row r="32" spans="1:4" ht="18.75" x14ac:dyDescent="0.3">
      <c r="A32" s="42" t="s">
        <v>187</v>
      </c>
      <c r="B32" s="35" t="s">
        <v>38</v>
      </c>
      <c r="C32" s="36" t="s">
        <v>25</v>
      </c>
      <c r="D32" s="4">
        <v>125</v>
      </c>
    </row>
    <row r="33" spans="1:4" ht="18.75" x14ac:dyDescent="0.3">
      <c r="A33" s="42" t="s">
        <v>188</v>
      </c>
      <c r="B33" s="35" t="s">
        <v>39</v>
      </c>
      <c r="C33" s="36" t="s">
        <v>25</v>
      </c>
      <c r="D33" s="4">
        <v>351</v>
      </c>
    </row>
    <row r="34" spans="1:4" ht="18.75" x14ac:dyDescent="0.3">
      <c r="A34" s="42" t="s">
        <v>189</v>
      </c>
      <c r="B34" s="35" t="s">
        <v>40</v>
      </c>
      <c r="C34" s="36" t="s">
        <v>25</v>
      </c>
      <c r="D34" s="12">
        <v>200</v>
      </c>
    </row>
    <row r="35" spans="1:4" ht="18.75" x14ac:dyDescent="0.3">
      <c r="A35" s="42" t="s">
        <v>190</v>
      </c>
      <c r="B35" s="35" t="s">
        <v>41</v>
      </c>
      <c r="C35" s="4" t="s">
        <v>25</v>
      </c>
      <c r="D35" s="12">
        <v>22.5</v>
      </c>
    </row>
    <row r="36" spans="1:4" ht="18.75" x14ac:dyDescent="0.3">
      <c r="A36" s="42" t="s">
        <v>191</v>
      </c>
      <c r="B36" s="38" t="s">
        <v>43</v>
      </c>
      <c r="C36" s="36" t="s">
        <v>44</v>
      </c>
      <c r="D36" s="12">
        <v>90</v>
      </c>
    </row>
    <row r="37" spans="1:4" ht="18.75" x14ac:dyDescent="0.3">
      <c r="A37" s="42" t="s">
        <v>192</v>
      </c>
      <c r="B37" s="38" t="s">
        <v>45</v>
      </c>
      <c r="C37" s="4" t="s">
        <v>46</v>
      </c>
      <c r="D37" s="12">
        <v>22.5</v>
      </c>
    </row>
    <row r="38" spans="1:4" ht="18.75" x14ac:dyDescent="0.3">
      <c r="A38" s="42" t="s">
        <v>193</v>
      </c>
      <c r="B38" s="35" t="s">
        <v>47</v>
      </c>
      <c r="C38" s="36" t="s">
        <v>46</v>
      </c>
      <c r="D38" s="12">
        <v>36.5</v>
      </c>
    </row>
    <row r="39" spans="1:4" ht="18.75" x14ac:dyDescent="0.3">
      <c r="A39" s="42" t="s">
        <v>194</v>
      </c>
      <c r="B39" s="35" t="s">
        <v>48</v>
      </c>
      <c r="C39" s="36" t="s">
        <v>25</v>
      </c>
      <c r="D39" s="12">
        <v>16.5</v>
      </c>
    </row>
    <row r="40" spans="1:4" ht="18.75" x14ac:dyDescent="0.3">
      <c r="A40" s="42" t="s">
        <v>195</v>
      </c>
      <c r="B40" s="35" t="s">
        <v>49</v>
      </c>
      <c r="C40" s="36" t="s">
        <v>25</v>
      </c>
      <c r="D40" s="12">
        <v>26.5</v>
      </c>
    </row>
    <row r="41" spans="1:4" ht="18.75" x14ac:dyDescent="0.3">
      <c r="A41" s="42" t="s">
        <v>196</v>
      </c>
      <c r="B41" s="35" t="s">
        <v>50</v>
      </c>
      <c r="C41" s="36" t="s">
        <v>25</v>
      </c>
      <c r="D41" s="12">
        <v>22.5</v>
      </c>
    </row>
    <row r="42" spans="1:4" ht="18.75" x14ac:dyDescent="0.3">
      <c r="A42" s="42" t="s">
        <v>197</v>
      </c>
      <c r="B42" s="35" t="s">
        <v>51</v>
      </c>
      <c r="C42" s="36" t="s">
        <v>25</v>
      </c>
      <c r="D42" s="12">
        <v>26.5</v>
      </c>
    </row>
    <row r="43" spans="1:4" ht="18.75" x14ac:dyDescent="0.3">
      <c r="A43" s="42" t="s">
        <v>198</v>
      </c>
      <c r="B43" s="35" t="s">
        <v>52</v>
      </c>
      <c r="C43" s="4" t="s">
        <v>44</v>
      </c>
      <c r="D43" s="12">
        <v>385</v>
      </c>
    </row>
    <row r="44" spans="1:4" ht="18.75" x14ac:dyDescent="0.3">
      <c r="A44" s="42" t="s">
        <v>199</v>
      </c>
      <c r="B44" s="35" t="s">
        <v>53</v>
      </c>
      <c r="C44" s="36" t="s">
        <v>44</v>
      </c>
      <c r="D44" s="12">
        <v>385</v>
      </c>
    </row>
    <row r="45" spans="1:4" ht="18.75" x14ac:dyDescent="0.3">
      <c r="A45" s="42" t="s">
        <v>200</v>
      </c>
      <c r="B45" s="35" t="s">
        <v>54</v>
      </c>
      <c r="C45" s="36" t="s">
        <v>44</v>
      </c>
      <c r="D45" s="12">
        <v>195</v>
      </c>
    </row>
    <row r="46" spans="1:4" ht="18.75" x14ac:dyDescent="0.3">
      <c r="A46" s="42" t="s">
        <v>201</v>
      </c>
      <c r="B46" s="35" t="s">
        <v>55</v>
      </c>
      <c r="C46" s="36" t="s">
        <v>56</v>
      </c>
      <c r="D46" s="12">
        <v>65</v>
      </c>
    </row>
    <row r="47" spans="1:4" ht="18.75" x14ac:dyDescent="0.3">
      <c r="A47" s="42" t="s">
        <v>202</v>
      </c>
      <c r="B47" s="35" t="s">
        <v>57</v>
      </c>
      <c r="C47" s="36" t="s">
        <v>10</v>
      </c>
      <c r="D47" s="12">
        <v>19</v>
      </c>
    </row>
    <row r="48" spans="1:4" ht="18.75" x14ac:dyDescent="0.3">
      <c r="A48" s="42" t="s">
        <v>203</v>
      </c>
      <c r="B48" s="38" t="s">
        <v>58</v>
      </c>
      <c r="C48" s="36" t="s">
        <v>10</v>
      </c>
      <c r="D48" s="12">
        <v>22</v>
      </c>
    </row>
    <row r="49" spans="1:4" ht="18.75" x14ac:dyDescent="0.3">
      <c r="A49" s="42" t="s">
        <v>204</v>
      </c>
      <c r="B49" s="35" t="s">
        <v>59</v>
      </c>
      <c r="C49" s="36" t="s">
        <v>10</v>
      </c>
      <c r="D49" s="12">
        <v>22.5</v>
      </c>
    </row>
    <row r="50" spans="1:4" ht="18.75" x14ac:dyDescent="0.3">
      <c r="A50" s="42" t="s">
        <v>205</v>
      </c>
      <c r="B50" s="35" t="s">
        <v>60</v>
      </c>
      <c r="C50" s="36" t="s">
        <v>10</v>
      </c>
      <c r="D50" s="12">
        <v>16.5</v>
      </c>
    </row>
    <row r="51" spans="1:4" ht="18.75" x14ac:dyDescent="0.3">
      <c r="A51" s="42" t="s">
        <v>206</v>
      </c>
      <c r="B51" s="35" t="s">
        <v>61</v>
      </c>
      <c r="C51" s="36" t="s">
        <v>10</v>
      </c>
      <c r="D51" s="12">
        <v>23.5</v>
      </c>
    </row>
    <row r="52" spans="1:4" ht="18.75" x14ac:dyDescent="0.3">
      <c r="A52" s="42" t="s">
        <v>207</v>
      </c>
      <c r="B52" s="35" t="s">
        <v>62</v>
      </c>
      <c r="C52" s="36" t="s">
        <v>10</v>
      </c>
      <c r="D52" s="12">
        <v>22.5</v>
      </c>
    </row>
    <row r="53" spans="1:4" ht="18.75" x14ac:dyDescent="0.3">
      <c r="A53" s="42" t="s">
        <v>208</v>
      </c>
      <c r="B53" s="35" t="s">
        <v>63</v>
      </c>
      <c r="C53" s="36" t="s">
        <v>10</v>
      </c>
      <c r="D53" s="12">
        <v>33</v>
      </c>
    </row>
    <row r="54" spans="1:4" ht="18.75" x14ac:dyDescent="0.3">
      <c r="A54" s="42" t="s">
        <v>209</v>
      </c>
      <c r="B54" s="35" t="s">
        <v>64</v>
      </c>
      <c r="C54" s="36" t="s">
        <v>6</v>
      </c>
      <c r="D54" s="12">
        <v>16.5</v>
      </c>
    </row>
    <row r="55" spans="1:4" ht="18.75" x14ac:dyDescent="0.3">
      <c r="A55" s="42" t="s">
        <v>210</v>
      </c>
      <c r="B55" s="35" t="s">
        <v>65</v>
      </c>
      <c r="C55" s="36" t="s">
        <v>10</v>
      </c>
      <c r="D55" s="12">
        <v>30.5</v>
      </c>
    </row>
    <row r="56" spans="1:4" ht="18.75" x14ac:dyDescent="0.3">
      <c r="A56" s="42" t="s">
        <v>211</v>
      </c>
      <c r="B56" s="35" t="s">
        <v>66</v>
      </c>
      <c r="C56" s="36" t="s">
        <v>10</v>
      </c>
      <c r="D56" s="12">
        <v>27.5</v>
      </c>
    </row>
    <row r="57" spans="1:4" ht="18.75" x14ac:dyDescent="0.3">
      <c r="A57" s="42" t="s">
        <v>212</v>
      </c>
      <c r="B57" s="35" t="s">
        <v>67</v>
      </c>
      <c r="C57" s="36" t="s">
        <v>10</v>
      </c>
      <c r="D57" s="12">
        <v>31.5</v>
      </c>
    </row>
    <row r="58" spans="1:4" ht="18.75" x14ac:dyDescent="0.3">
      <c r="A58" s="42" t="s">
        <v>213</v>
      </c>
      <c r="B58" s="41" t="s">
        <v>68</v>
      </c>
      <c r="C58" s="36" t="s">
        <v>10</v>
      </c>
      <c r="D58" s="12">
        <v>22</v>
      </c>
    </row>
    <row r="59" spans="1:4" ht="18.75" x14ac:dyDescent="0.3">
      <c r="A59" s="42" t="s">
        <v>214</v>
      </c>
      <c r="B59" s="41" t="s">
        <v>69</v>
      </c>
      <c r="C59" s="36" t="s">
        <v>10</v>
      </c>
      <c r="D59" s="12">
        <v>26</v>
      </c>
    </row>
    <row r="60" spans="1:4" ht="18.75" x14ac:dyDescent="0.3">
      <c r="A60" s="42" t="s">
        <v>215</v>
      </c>
      <c r="B60" s="35" t="s">
        <v>70</v>
      </c>
      <c r="C60" s="36" t="s">
        <v>6</v>
      </c>
      <c r="D60" s="12">
        <v>11.5</v>
      </c>
    </row>
    <row r="61" spans="1:4" ht="18.75" x14ac:dyDescent="0.3">
      <c r="A61" s="42" t="s">
        <v>216</v>
      </c>
      <c r="B61" s="35" t="s">
        <v>71</v>
      </c>
      <c r="C61" s="36" t="s">
        <v>10</v>
      </c>
      <c r="D61" s="12">
        <v>21.65</v>
      </c>
    </row>
    <row r="62" spans="1:4" ht="18.75" x14ac:dyDescent="0.3">
      <c r="A62" s="42" t="s">
        <v>217</v>
      </c>
      <c r="B62" s="35" t="s">
        <v>72</v>
      </c>
      <c r="C62" s="36" t="s">
        <v>10</v>
      </c>
      <c r="D62" s="12">
        <v>40.450000000000003</v>
      </c>
    </row>
    <row r="63" spans="1:4" ht="18.75" x14ac:dyDescent="0.3">
      <c r="A63" s="42" t="s">
        <v>218</v>
      </c>
      <c r="B63" s="35" t="s">
        <v>73</v>
      </c>
      <c r="C63" s="36" t="s">
        <v>10</v>
      </c>
      <c r="D63" s="12">
        <v>55</v>
      </c>
    </row>
    <row r="64" spans="1:4" ht="18.75" x14ac:dyDescent="0.3">
      <c r="A64" s="42" t="s">
        <v>219</v>
      </c>
      <c r="B64" s="35" t="s">
        <v>74</v>
      </c>
      <c r="C64" s="36" t="s">
        <v>10</v>
      </c>
      <c r="D64" s="12">
        <v>49.3</v>
      </c>
    </row>
    <row r="65" spans="1:4" ht="18.75" x14ac:dyDescent="0.3">
      <c r="A65" s="42" t="s">
        <v>220</v>
      </c>
      <c r="B65" s="35" t="s">
        <v>75</v>
      </c>
      <c r="C65" s="36" t="s">
        <v>10</v>
      </c>
      <c r="D65" s="12">
        <v>39</v>
      </c>
    </row>
    <row r="66" spans="1:4" ht="18.75" x14ac:dyDescent="0.3">
      <c r="A66" s="42" t="s">
        <v>221</v>
      </c>
      <c r="B66" s="35" t="s">
        <v>76</v>
      </c>
      <c r="C66" s="36" t="s">
        <v>10</v>
      </c>
      <c r="D66" s="12">
        <v>39</v>
      </c>
    </row>
    <row r="67" spans="1:4" ht="18.75" x14ac:dyDescent="0.3">
      <c r="A67" s="42" t="s">
        <v>222</v>
      </c>
      <c r="B67" s="35" t="s">
        <v>77</v>
      </c>
      <c r="C67" s="36" t="s">
        <v>10</v>
      </c>
      <c r="D67" s="12">
        <v>56</v>
      </c>
    </row>
    <row r="68" spans="1:4" ht="18.75" x14ac:dyDescent="0.3">
      <c r="A68" s="42" t="s">
        <v>223</v>
      </c>
      <c r="B68" s="35" t="s">
        <v>78</v>
      </c>
      <c r="C68" s="36" t="s">
        <v>10</v>
      </c>
      <c r="D68" s="12">
        <v>56</v>
      </c>
    </row>
    <row r="69" spans="1:4" ht="18.75" x14ac:dyDescent="0.3">
      <c r="A69" s="42" t="s">
        <v>224</v>
      </c>
      <c r="B69" s="35" t="s">
        <v>79</v>
      </c>
      <c r="C69" s="36" t="s">
        <v>10</v>
      </c>
      <c r="D69" s="12">
        <v>53</v>
      </c>
    </row>
    <row r="70" spans="1:4" ht="18.75" x14ac:dyDescent="0.3">
      <c r="A70" s="42" t="s">
        <v>225</v>
      </c>
      <c r="B70" s="35" t="s">
        <v>80</v>
      </c>
      <c r="C70" s="36" t="s">
        <v>10</v>
      </c>
      <c r="D70" s="12">
        <v>6.4</v>
      </c>
    </row>
    <row r="71" spans="1:4" ht="18.75" x14ac:dyDescent="0.3">
      <c r="A71" s="42" t="s">
        <v>226</v>
      </c>
      <c r="B71" s="35" t="s">
        <v>81</v>
      </c>
      <c r="C71" s="36" t="s">
        <v>10</v>
      </c>
      <c r="D71" s="12">
        <v>5.8</v>
      </c>
    </row>
    <row r="72" spans="1:4" ht="18.75" x14ac:dyDescent="0.3">
      <c r="A72" s="42" t="s">
        <v>227</v>
      </c>
      <c r="B72" s="35" t="s">
        <v>82</v>
      </c>
      <c r="C72" s="36" t="s">
        <v>6</v>
      </c>
      <c r="D72" s="12">
        <v>11.25</v>
      </c>
    </row>
    <row r="73" spans="1:4" ht="18.75" x14ac:dyDescent="0.3">
      <c r="A73" s="42" t="s">
        <v>228</v>
      </c>
      <c r="B73" s="35" t="s">
        <v>83</v>
      </c>
      <c r="C73" s="36" t="s">
        <v>6</v>
      </c>
      <c r="D73" s="12">
        <v>12</v>
      </c>
    </row>
    <row r="74" spans="1:4" ht="18.75" x14ac:dyDescent="0.3">
      <c r="A74" s="42" t="s">
        <v>229</v>
      </c>
      <c r="B74" s="35" t="s">
        <v>84</v>
      </c>
      <c r="C74" s="36" t="s">
        <v>6</v>
      </c>
      <c r="D74" s="12">
        <v>10.5</v>
      </c>
    </row>
    <row r="75" spans="1:4" ht="18.75" x14ac:dyDescent="0.3">
      <c r="A75" s="42" t="s">
        <v>230</v>
      </c>
      <c r="B75" s="38" t="s">
        <v>85</v>
      </c>
      <c r="C75" s="36" t="s">
        <v>6</v>
      </c>
      <c r="D75" s="12">
        <v>9.35</v>
      </c>
    </row>
    <row r="76" spans="1:4" ht="18.75" x14ac:dyDescent="0.3">
      <c r="A76" s="42" t="s">
        <v>231</v>
      </c>
      <c r="B76" s="38" t="s">
        <v>86</v>
      </c>
      <c r="C76" s="4"/>
      <c r="D76" s="12">
        <v>42.5</v>
      </c>
    </row>
    <row r="77" spans="1:4" ht="18.75" x14ac:dyDescent="0.3">
      <c r="A77" s="42" t="s">
        <v>232</v>
      </c>
      <c r="B77" s="38" t="s">
        <v>87</v>
      </c>
      <c r="C77" s="4"/>
      <c r="D77" s="12">
        <v>42.5</v>
      </c>
    </row>
    <row r="78" spans="1:4" ht="18.75" x14ac:dyDescent="0.3">
      <c r="A78" s="42" t="s">
        <v>233</v>
      </c>
      <c r="B78" s="35" t="s">
        <v>88</v>
      </c>
      <c r="C78" s="36" t="s">
        <v>10</v>
      </c>
      <c r="D78" s="12">
        <v>120</v>
      </c>
    </row>
    <row r="79" spans="1:4" ht="18.75" x14ac:dyDescent="0.3">
      <c r="A79" s="42" t="s">
        <v>234</v>
      </c>
      <c r="B79" s="35" t="s">
        <v>90</v>
      </c>
      <c r="C79" s="36" t="s">
        <v>10</v>
      </c>
      <c r="D79" s="12">
        <v>105</v>
      </c>
    </row>
    <row r="80" spans="1:4" ht="18.75" x14ac:dyDescent="0.3">
      <c r="A80" s="42" t="s">
        <v>235</v>
      </c>
      <c r="B80" s="35" t="s">
        <v>91</v>
      </c>
      <c r="C80" s="36" t="s">
        <v>10</v>
      </c>
      <c r="D80" s="12">
        <v>120</v>
      </c>
    </row>
    <row r="81" spans="1:4" ht="18.75" x14ac:dyDescent="0.3">
      <c r="A81" s="42" t="s">
        <v>236</v>
      </c>
      <c r="B81" s="35" t="s">
        <v>92</v>
      </c>
      <c r="C81" s="36" t="s">
        <v>10</v>
      </c>
      <c r="D81" s="12">
        <v>90</v>
      </c>
    </row>
    <row r="82" spans="1:4" ht="18.75" x14ac:dyDescent="0.3">
      <c r="A82" s="42" t="s">
        <v>237</v>
      </c>
      <c r="B82" s="35" t="s">
        <v>93</v>
      </c>
      <c r="C82" s="36" t="s">
        <v>10</v>
      </c>
      <c r="D82" s="12">
        <v>75</v>
      </c>
    </row>
    <row r="83" spans="1:4" ht="18.75" x14ac:dyDescent="0.3">
      <c r="A83" s="42" t="s">
        <v>238</v>
      </c>
      <c r="B83" s="38" t="s">
        <v>94</v>
      </c>
      <c r="C83" s="36" t="s">
        <v>10</v>
      </c>
      <c r="D83" s="12">
        <v>33</v>
      </c>
    </row>
    <row r="84" spans="1:4" ht="18.75" x14ac:dyDescent="0.3">
      <c r="A84" s="42" t="s">
        <v>239</v>
      </c>
      <c r="B84" s="35" t="s">
        <v>95</v>
      </c>
      <c r="C84" s="36" t="s">
        <v>25</v>
      </c>
      <c r="D84" s="12">
        <v>25</v>
      </c>
    </row>
    <row r="85" spans="1:4" ht="18.75" x14ac:dyDescent="0.3">
      <c r="A85" s="42" t="s">
        <v>240</v>
      </c>
      <c r="B85" s="35" t="s">
        <v>96</v>
      </c>
      <c r="C85" s="36" t="s">
        <v>25</v>
      </c>
      <c r="D85" s="12">
        <v>35</v>
      </c>
    </row>
    <row r="86" spans="1:4" ht="18.75" x14ac:dyDescent="0.3">
      <c r="A86" s="42" t="s">
        <v>241</v>
      </c>
      <c r="B86" s="35" t="s">
        <v>97</v>
      </c>
      <c r="C86" s="36" t="s">
        <v>46</v>
      </c>
      <c r="D86" s="12">
        <v>14.5</v>
      </c>
    </row>
    <row r="87" spans="1:4" ht="18.75" x14ac:dyDescent="0.3">
      <c r="A87" s="42" t="s">
        <v>242</v>
      </c>
      <c r="B87" s="35" t="s">
        <v>98</v>
      </c>
      <c r="C87" s="36" t="s">
        <v>46</v>
      </c>
      <c r="D87" s="12">
        <v>17.5</v>
      </c>
    </row>
    <row r="88" spans="1:4" ht="18.75" x14ac:dyDescent="0.3">
      <c r="A88" s="42" t="s">
        <v>243</v>
      </c>
      <c r="B88" s="35" t="s">
        <v>99</v>
      </c>
      <c r="C88" s="36" t="s">
        <v>46</v>
      </c>
      <c r="D88" s="12">
        <v>18.5</v>
      </c>
    </row>
    <row r="89" spans="1:4" ht="18.75" x14ac:dyDescent="0.3">
      <c r="A89" s="42" t="s">
        <v>244</v>
      </c>
      <c r="B89" s="35" t="s">
        <v>100</v>
      </c>
      <c r="C89" s="36" t="s">
        <v>46</v>
      </c>
      <c r="D89" s="12">
        <v>17.5</v>
      </c>
    </row>
    <row r="90" spans="1:4" ht="18.75" x14ac:dyDescent="0.3">
      <c r="A90" s="42" t="s">
        <v>245</v>
      </c>
      <c r="B90" s="35" t="s">
        <v>101</v>
      </c>
      <c r="C90" s="36" t="s">
        <v>46</v>
      </c>
      <c r="D90" s="12">
        <v>18.5</v>
      </c>
    </row>
    <row r="91" spans="1:4" ht="18.75" x14ac:dyDescent="0.3">
      <c r="A91" s="42" t="s">
        <v>246</v>
      </c>
      <c r="B91" s="35" t="s">
        <v>102</v>
      </c>
      <c r="C91" s="36" t="s">
        <v>46</v>
      </c>
      <c r="D91" s="12">
        <v>17.5</v>
      </c>
    </row>
    <row r="92" spans="1:4" ht="18.75" x14ac:dyDescent="0.3">
      <c r="A92" s="42" t="s">
        <v>247</v>
      </c>
      <c r="B92" s="35" t="s">
        <v>103</v>
      </c>
      <c r="C92" s="36" t="s">
        <v>46</v>
      </c>
      <c r="D92" s="12">
        <v>25</v>
      </c>
    </row>
    <row r="93" spans="1:4" ht="18.75" x14ac:dyDescent="0.3">
      <c r="A93" s="42" t="s">
        <v>248</v>
      </c>
      <c r="B93" s="35" t="s">
        <v>105</v>
      </c>
      <c r="C93" s="36" t="s">
        <v>25</v>
      </c>
      <c r="D93" s="12">
        <v>35.5</v>
      </c>
    </row>
    <row r="94" spans="1:4" ht="18.75" x14ac:dyDescent="0.3">
      <c r="A94" s="42" t="s">
        <v>249</v>
      </c>
      <c r="B94" s="35" t="s">
        <v>106</v>
      </c>
      <c r="C94" s="36" t="s">
        <v>25</v>
      </c>
      <c r="D94" s="12">
        <v>35.5</v>
      </c>
    </row>
    <row r="95" spans="1:4" ht="18.75" x14ac:dyDescent="0.3">
      <c r="A95" s="42" t="s">
        <v>250</v>
      </c>
      <c r="B95" s="35" t="s">
        <v>107</v>
      </c>
      <c r="C95" s="36" t="s">
        <v>25</v>
      </c>
      <c r="D95" s="12">
        <v>42.5</v>
      </c>
    </row>
    <row r="96" spans="1:4" ht="18.75" x14ac:dyDescent="0.3">
      <c r="A96" s="42" t="s">
        <v>251</v>
      </c>
      <c r="B96" s="35" t="s">
        <v>108</v>
      </c>
      <c r="C96" s="36" t="s">
        <v>25</v>
      </c>
      <c r="D96" s="12">
        <v>29.5</v>
      </c>
    </row>
    <row r="97" spans="1:4" ht="18.75" x14ac:dyDescent="0.3">
      <c r="A97" s="42" t="s">
        <v>252</v>
      </c>
      <c r="B97" s="35" t="s">
        <v>109</v>
      </c>
      <c r="C97" s="36" t="s">
        <v>25</v>
      </c>
      <c r="D97" s="12">
        <v>45</v>
      </c>
    </row>
    <row r="98" spans="1:4" ht="18.75" x14ac:dyDescent="0.3">
      <c r="A98" s="42" t="s">
        <v>253</v>
      </c>
      <c r="B98" s="35" t="s">
        <v>110</v>
      </c>
      <c r="C98" s="36" t="s">
        <v>46</v>
      </c>
      <c r="D98" s="12">
        <v>60</v>
      </c>
    </row>
    <row r="99" spans="1:4" ht="18.75" x14ac:dyDescent="0.3">
      <c r="A99" s="42" t="s">
        <v>254</v>
      </c>
      <c r="B99" s="35" t="s">
        <v>111</v>
      </c>
      <c r="C99" s="36" t="s">
        <v>10</v>
      </c>
      <c r="D99" s="12">
        <v>14</v>
      </c>
    </row>
    <row r="100" spans="1:4" ht="18.75" x14ac:dyDescent="0.3">
      <c r="A100" s="42" t="s">
        <v>255</v>
      </c>
      <c r="B100" s="35" t="s">
        <v>112</v>
      </c>
      <c r="C100" s="36" t="s">
        <v>10</v>
      </c>
      <c r="D100" s="12">
        <v>14.5</v>
      </c>
    </row>
    <row r="101" spans="1:4" ht="18.75" x14ac:dyDescent="0.3">
      <c r="A101" s="42" t="s">
        <v>256</v>
      </c>
      <c r="B101" s="35" t="s">
        <v>113</v>
      </c>
      <c r="C101" s="36" t="s">
        <v>10</v>
      </c>
      <c r="D101" s="12">
        <v>10</v>
      </c>
    </row>
    <row r="102" spans="1:4" ht="18.75" x14ac:dyDescent="0.3">
      <c r="A102" s="42" t="s">
        <v>257</v>
      </c>
      <c r="B102" s="35" t="s">
        <v>114</v>
      </c>
      <c r="C102" s="36" t="s">
        <v>10</v>
      </c>
      <c r="D102" s="12">
        <v>12.5</v>
      </c>
    </row>
    <row r="103" spans="1:4" ht="18.75" x14ac:dyDescent="0.3">
      <c r="A103" s="42" t="s">
        <v>258</v>
      </c>
      <c r="B103" s="35" t="s">
        <v>115</v>
      </c>
      <c r="C103" s="36" t="s">
        <v>10</v>
      </c>
      <c r="D103" s="12">
        <v>9.5</v>
      </c>
    </row>
    <row r="104" spans="1:4" ht="18.75" x14ac:dyDescent="0.3">
      <c r="A104" s="42" t="s">
        <v>259</v>
      </c>
      <c r="B104" s="35" t="s">
        <v>116</v>
      </c>
      <c r="C104" s="36" t="s">
        <v>10</v>
      </c>
      <c r="D104" s="12">
        <v>9</v>
      </c>
    </row>
    <row r="105" spans="1:4" ht="18.75" x14ac:dyDescent="0.3">
      <c r="A105" s="42" t="s">
        <v>260</v>
      </c>
      <c r="B105" s="35" t="s">
        <v>117</v>
      </c>
      <c r="C105" s="36" t="s">
        <v>10</v>
      </c>
      <c r="D105" s="12">
        <v>12.4</v>
      </c>
    </row>
    <row r="106" spans="1:4" ht="18.75" x14ac:dyDescent="0.3">
      <c r="A106" s="42" t="s">
        <v>261</v>
      </c>
      <c r="B106" s="38" t="s">
        <v>118</v>
      </c>
      <c r="C106" s="36" t="s">
        <v>10</v>
      </c>
      <c r="D106" s="12">
        <v>12</v>
      </c>
    </row>
    <row r="107" spans="1:4" ht="18.75" x14ac:dyDescent="0.3">
      <c r="A107" s="42" t="s">
        <v>262</v>
      </c>
      <c r="B107" s="38" t="s">
        <v>119</v>
      </c>
      <c r="C107" s="36" t="s">
        <v>10</v>
      </c>
      <c r="D107" s="12">
        <v>12.5</v>
      </c>
    </row>
    <row r="108" spans="1:4" ht="18.75" x14ac:dyDescent="0.3">
      <c r="A108" s="42" t="s">
        <v>263</v>
      </c>
      <c r="B108" s="35" t="s">
        <v>120</v>
      </c>
      <c r="C108" s="36" t="s">
        <v>10</v>
      </c>
      <c r="D108" s="12">
        <v>10.5</v>
      </c>
    </row>
    <row r="109" spans="1:4" ht="18.75" x14ac:dyDescent="0.3">
      <c r="A109" s="42" t="s">
        <v>264</v>
      </c>
      <c r="B109" s="35" t="s">
        <v>121</v>
      </c>
      <c r="C109" s="36" t="s">
        <v>6</v>
      </c>
      <c r="D109" s="12">
        <v>7</v>
      </c>
    </row>
    <row r="110" spans="1:4" ht="18.75" x14ac:dyDescent="0.3">
      <c r="A110" s="42" t="s">
        <v>265</v>
      </c>
      <c r="B110" s="35" t="s">
        <v>122</v>
      </c>
      <c r="C110" s="36" t="s">
        <v>10</v>
      </c>
      <c r="D110" s="12">
        <v>6.8</v>
      </c>
    </row>
    <row r="111" spans="1:4" ht="18.75" x14ac:dyDescent="0.3">
      <c r="A111" s="42" t="s">
        <v>266</v>
      </c>
      <c r="B111" s="35" t="s">
        <v>123</v>
      </c>
      <c r="C111" s="36" t="s">
        <v>10</v>
      </c>
      <c r="D111" s="12">
        <v>4.5999999999999996</v>
      </c>
    </row>
    <row r="112" spans="1:4" ht="18.75" x14ac:dyDescent="0.3">
      <c r="A112" s="42" t="s">
        <v>267</v>
      </c>
      <c r="B112" s="35" t="s">
        <v>124</v>
      </c>
      <c r="C112" s="36" t="s">
        <v>10</v>
      </c>
      <c r="D112" s="12">
        <v>8</v>
      </c>
    </row>
    <row r="113" spans="1:4" ht="18.75" x14ac:dyDescent="0.3">
      <c r="A113" s="42" t="s">
        <v>268</v>
      </c>
      <c r="B113" s="35" t="s">
        <v>125</v>
      </c>
      <c r="C113" s="36" t="s">
        <v>10</v>
      </c>
      <c r="D113" s="12">
        <v>5</v>
      </c>
    </row>
    <row r="114" spans="1:4" ht="18.75" x14ac:dyDescent="0.3">
      <c r="A114" s="42" t="s">
        <v>269</v>
      </c>
      <c r="B114" s="35" t="s">
        <v>126</v>
      </c>
      <c r="C114" s="36" t="s">
        <v>25</v>
      </c>
      <c r="D114" s="12">
        <v>16.8</v>
      </c>
    </row>
    <row r="115" spans="1:4" ht="18.75" x14ac:dyDescent="0.3">
      <c r="A115" s="42" t="s">
        <v>270</v>
      </c>
      <c r="B115" s="35" t="s">
        <v>127</v>
      </c>
      <c r="C115" s="36" t="s">
        <v>6</v>
      </c>
      <c r="D115" s="12">
        <v>6.25</v>
      </c>
    </row>
    <row r="116" spans="1:4" ht="18.75" x14ac:dyDescent="0.3">
      <c r="A116" s="42" t="s">
        <v>271</v>
      </c>
      <c r="B116" s="35" t="s">
        <v>128</v>
      </c>
      <c r="C116" s="36" t="s">
        <v>6</v>
      </c>
      <c r="D116" s="12">
        <v>14</v>
      </c>
    </row>
    <row r="117" spans="1:4" ht="18.75" x14ac:dyDescent="0.3">
      <c r="A117" s="42" t="s">
        <v>272</v>
      </c>
      <c r="B117" s="35" t="s">
        <v>129</v>
      </c>
      <c r="C117" s="36" t="s">
        <v>25</v>
      </c>
      <c r="D117" s="12">
        <v>22</v>
      </c>
    </row>
    <row r="118" spans="1:4" ht="18.75" x14ac:dyDescent="0.3">
      <c r="A118" s="42" t="s">
        <v>273</v>
      </c>
      <c r="B118" s="35" t="s">
        <v>130</v>
      </c>
      <c r="C118" s="36" t="s">
        <v>56</v>
      </c>
      <c r="D118" s="12">
        <v>40</v>
      </c>
    </row>
    <row r="119" spans="1:4" ht="18.75" x14ac:dyDescent="0.3">
      <c r="A119" s="42" t="s">
        <v>274</v>
      </c>
      <c r="B119" s="35" t="s">
        <v>131</v>
      </c>
      <c r="C119" s="36" t="s">
        <v>10</v>
      </c>
      <c r="D119" s="12">
        <v>12.75</v>
      </c>
    </row>
    <row r="120" spans="1:4" ht="18.75" x14ac:dyDescent="0.3">
      <c r="A120" s="42" t="s">
        <v>275</v>
      </c>
      <c r="B120" s="35" t="s">
        <v>132</v>
      </c>
      <c r="C120" s="36" t="s">
        <v>25</v>
      </c>
      <c r="D120" s="4">
        <v>15.5</v>
      </c>
    </row>
    <row r="121" spans="1:4" ht="18.75" x14ac:dyDescent="0.3">
      <c r="A121" s="42" t="s">
        <v>276</v>
      </c>
      <c r="B121" s="35" t="s">
        <v>133</v>
      </c>
      <c r="C121" s="36" t="s">
        <v>25</v>
      </c>
      <c r="D121" s="4">
        <v>15.5</v>
      </c>
    </row>
    <row r="122" spans="1:4" ht="18.75" x14ac:dyDescent="0.3">
      <c r="A122" s="42" t="s">
        <v>277</v>
      </c>
      <c r="B122" s="35" t="s">
        <v>134</v>
      </c>
      <c r="C122" s="36" t="s">
        <v>10</v>
      </c>
      <c r="D122" s="12">
        <v>16.5</v>
      </c>
    </row>
    <row r="123" spans="1:4" ht="18.75" x14ac:dyDescent="0.3">
      <c r="A123" s="42" t="s">
        <v>278</v>
      </c>
      <c r="B123" s="35" t="s">
        <v>135</v>
      </c>
      <c r="C123" s="36" t="s">
        <v>10</v>
      </c>
      <c r="D123" s="12">
        <v>8.5</v>
      </c>
    </row>
    <row r="124" spans="1:4" ht="18.75" x14ac:dyDescent="0.3">
      <c r="A124" s="42" t="s">
        <v>279</v>
      </c>
      <c r="B124" s="35" t="s">
        <v>136</v>
      </c>
      <c r="C124" s="36" t="s">
        <v>25</v>
      </c>
      <c r="D124" s="4">
        <v>15.5</v>
      </c>
    </row>
    <row r="125" spans="1:4" ht="18.75" x14ac:dyDescent="0.3">
      <c r="A125" s="42" t="s">
        <v>280</v>
      </c>
      <c r="B125" s="35" t="s">
        <v>137</v>
      </c>
      <c r="C125" s="36" t="s">
        <v>6</v>
      </c>
      <c r="D125" s="4">
        <v>3</v>
      </c>
    </row>
    <row r="126" spans="1:4" ht="18.75" x14ac:dyDescent="0.3">
      <c r="A126" s="42" t="s">
        <v>281</v>
      </c>
      <c r="B126" s="35" t="s">
        <v>138</v>
      </c>
      <c r="C126" s="36" t="s">
        <v>6</v>
      </c>
      <c r="D126" s="12">
        <v>9.5</v>
      </c>
    </row>
    <row r="127" spans="1:4" ht="18.75" x14ac:dyDescent="0.3">
      <c r="A127" s="42" t="s">
        <v>282</v>
      </c>
      <c r="B127" s="35" t="s">
        <v>139</v>
      </c>
      <c r="C127" s="36" t="s">
        <v>10</v>
      </c>
      <c r="D127" s="12">
        <v>16.5</v>
      </c>
    </row>
    <row r="128" spans="1:4" ht="18.75" x14ac:dyDescent="0.3">
      <c r="A128" s="42" t="s">
        <v>283</v>
      </c>
      <c r="B128" s="35" t="s">
        <v>140</v>
      </c>
      <c r="C128" s="36" t="s">
        <v>25</v>
      </c>
      <c r="D128" s="12">
        <v>65</v>
      </c>
    </row>
    <row r="129" spans="1:4" ht="18.75" x14ac:dyDescent="0.3">
      <c r="A129" s="42" t="s">
        <v>284</v>
      </c>
      <c r="B129" s="35" t="s">
        <v>141</v>
      </c>
      <c r="C129" s="36" t="s">
        <v>25</v>
      </c>
      <c r="D129" s="12">
        <v>55</v>
      </c>
    </row>
    <row r="130" spans="1:4" ht="18.75" x14ac:dyDescent="0.3">
      <c r="A130" s="42" t="s">
        <v>285</v>
      </c>
      <c r="B130" s="35" t="s">
        <v>142</v>
      </c>
      <c r="C130" s="36" t="s">
        <v>6</v>
      </c>
      <c r="D130" s="12">
        <v>47.5</v>
      </c>
    </row>
    <row r="131" spans="1:4" ht="18.75" x14ac:dyDescent="0.3">
      <c r="A131" s="42" t="s">
        <v>286</v>
      </c>
      <c r="B131" s="35" t="s">
        <v>143</v>
      </c>
      <c r="C131" s="36" t="s">
        <v>6</v>
      </c>
      <c r="D131" s="12">
        <v>37.5</v>
      </c>
    </row>
    <row r="132" spans="1:4" ht="18.75" x14ac:dyDescent="0.3">
      <c r="A132" s="42" t="s">
        <v>287</v>
      </c>
      <c r="B132" s="35" t="s">
        <v>144</v>
      </c>
      <c r="C132" s="36" t="s">
        <v>6</v>
      </c>
      <c r="D132" s="12">
        <v>100</v>
      </c>
    </row>
    <row r="133" spans="1:4" ht="18.75" x14ac:dyDescent="0.3">
      <c r="A133" s="42" t="s">
        <v>288</v>
      </c>
      <c r="B133" s="35" t="s">
        <v>145</v>
      </c>
      <c r="C133" s="4" t="s">
        <v>6</v>
      </c>
      <c r="D133" s="12">
        <v>135</v>
      </c>
    </row>
    <row r="134" spans="1:4" ht="18.75" x14ac:dyDescent="0.3">
      <c r="A134" s="42" t="s">
        <v>289</v>
      </c>
      <c r="B134" s="35" t="s">
        <v>146</v>
      </c>
      <c r="C134" s="36" t="s">
        <v>6</v>
      </c>
      <c r="D134" s="12">
        <v>36.5</v>
      </c>
    </row>
    <row r="135" spans="1:4" ht="18.75" x14ac:dyDescent="0.3">
      <c r="A135" s="42" t="s">
        <v>290</v>
      </c>
      <c r="B135" s="35" t="s">
        <v>147</v>
      </c>
      <c r="C135" s="36" t="s">
        <v>6</v>
      </c>
      <c r="D135" s="12">
        <v>52.5</v>
      </c>
    </row>
    <row r="136" spans="1:4" ht="18.75" x14ac:dyDescent="0.3">
      <c r="A136" s="42" t="s">
        <v>291</v>
      </c>
      <c r="B136" s="35" t="s">
        <v>148</v>
      </c>
      <c r="C136" s="36" t="s">
        <v>6</v>
      </c>
      <c r="D136" s="12">
        <v>42.5</v>
      </c>
    </row>
    <row r="137" spans="1:4" ht="18.75" x14ac:dyDescent="0.3">
      <c r="A137" s="42" t="s">
        <v>292</v>
      </c>
      <c r="B137" s="35" t="s">
        <v>149</v>
      </c>
      <c r="C137" s="36" t="s">
        <v>6</v>
      </c>
      <c r="D137" s="12">
        <v>42.5</v>
      </c>
    </row>
    <row r="138" spans="1:4" ht="18.75" x14ac:dyDescent="0.3">
      <c r="A138" s="42" t="s">
        <v>293</v>
      </c>
      <c r="B138" s="35" t="s">
        <v>150</v>
      </c>
      <c r="C138" s="36" t="s">
        <v>6</v>
      </c>
      <c r="D138" s="12">
        <v>46.5</v>
      </c>
    </row>
    <row r="139" spans="1:4" ht="18.75" x14ac:dyDescent="0.3">
      <c r="A139" s="42" t="s">
        <v>294</v>
      </c>
      <c r="B139" s="35" t="s">
        <v>151</v>
      </c>
      <c r="C139" s="36" t="s">
        <v>6</v>
      </c>
      <c r="D139" s="12">
        <v>46.5</v>
      </c>
    </row>
    <row r="140" spans="1:4" ht="18.75" x14ac:dyDescent="0.3">
      <c r="A140" s="42" t="s">
        <v>295</v>
      </c>
      <c r="B140" s="35" t="s">
        <v>152</v>
      </c>
      <c r="C140" s="36" t="s">
        <v>25</v>
      </c>
      <c r="D140" s="12">
        <v>65</v>
      </c>
    </row>
    <row r="141" spans="1:4" ht="18.75" x14ac:dyDescent="0.3">
      <c r="A141" s="42" t="s">
        <v>296</v>
      </c>
      <c r="B141" s="35" t="s">
        <v>153</v>
      </c>
      <c r="C141" s="36" t="s">
        <v>25</v>
      </c>
      <c r="D141" s="12">
        <v>60</v>
      </c>
    </row>
    <row r="142" spans="1:4" ht="18.75" x14ac:dyDescent="0.3">
      <c r="A142" s="42" t="s">
        <v>297</v>
      </c>
      <c r="B142" s="35" t="s">
        <v>154</v>
      </c>
      <c r="C142" s="36" t="s">
        <v>25</v>
      </c>
      <c r="D142" s="12">
        <v>42.5</v>
      </c>
    </row>
    <row r="143" spans="1:4" ht="18.75" x14ac:dyDescent="0.3">
      <c r="A143" s="42" t="s">
        <v>298</v>
      </c>
      <c r="B143" s="35" t="s">
        <v>155</v>
      </c>
      <c r="C143" s="36" t="s">
        <v>25</v>
      </c>
      <c r="D143" s="12">
        <v>75</v>
      </c>
    </row>
  </sheetData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Folha1</vt:lpstr>
      <vt:lpstr>Folha2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Alexandre Santos</dc:creator>
  <cp:keywords/>
  <dc:description/>
  <cp:lastModifiedBy>Jorge Soares</cp:lastModifiedBy>
  <cp:revision/>
  <dcterms:created xsi:type="dcterms:W3CDTF">2025-11-12T14:48:39Z</dcterms:created>
  <dcterms:modified xsi:type="dcterms:W3CDTF">2026-01-22T17:37:56Z</dcterms:modified>
  <cp:category/>
  <cp:contentStatus/>
</cp:coreProperties>
</file>