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rge Soares\Desktop\APP2\dist\"/>
    </mc:Choice>
  </mc:AlternateContent>
  <xr:revisionPtr revIDLastSave="0" documentId="8_{085356F0-0B24-4BFD-8FD5-4386E05AD61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lha1" sheetId="1" r:id="rId1"/>
  </sheets>
  <definedNames>
    <definedName name="_xlnm.Print_Area" localSheetId="0">Folha1!$A$1:$L$182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" i="1" l="1"/>
  <c r="L19" i="1"/>
  <c r="L20" i="1"/>
  <c r="L21" i="1"/>
  <c r="L22" i="1"/>
  <c r="L25" i="1"/>
  <c r="L26" i="1"/>
  <c r="L31" i="1"/>
  <c r="L32" i="1"/>
  <c r="L33" i="1"/>
  <c r="L35" i="1"/>
  <c r="L36" i="1"/>
  <c r="L38" i="1"/>
  <c r="L39" i="1"/>
  <c r="L40" i="1"/>
  <c r="L41" i="1"/>
  <c r="L44" i="1"/>
  <c r="L45" i="1"/>
  <c r="L46" i="1"/>
  <c r="L47" i="1"/>
  <c r="L48" i="1"/>
  <c r="L50" i="1"/>
  <c r="L51" i="1"/>
  <c r="L52" i="1"/>
  <c r="L53" i="1"/>
  <c r="L54" i="1"/>
  <c r="L56" i="1"/>
  <c r="L57" i="1"/>
  <c r="L58" i="1"/>
  <c r="L60" i="1"/>
  <c r="L61" i="1"/>
  <c r="L62" i="1"/>
  <c r="L63" i="1"/>
  <c r="L64" i="1"/>
  <c r="L65" i="1"/>
  <c r="L66" i="1"/>
  <c r="L67" i="1"/>
  <c r="L68" i="1"/>
  <c r="L70" i="1"/>
  <c r="L72" i="1"/>
  <c r="L74" i="1"/>
  <c r="L76" i="1"/>
  <c r="L78" i="1"/>
  <c r="L79" i="1"/>
  <c r="L80" i="1"/>
  <c r="L81" i="1"/>
  <c r="L82" i="1"/>
  <c r="L83" i="1"/>
  <c r="L84" i="1"/>
  <c r="L86" i="1"/>
  <c r="L88" i="1"/>
  <c r="L89" i="1"/>
  <c r="L92" i="1"/>
  <c r="L93" i="1"/>
  <c r="L96" i="1"/>
  <c r="L97" i="1"/>
  <c r="L98" i="1"/>
  <c r="L101" i="1"/>
  <c r="L102" i="1"/>
  <c r="L103" i="1"/>
  <c r="L104" i="1"/>
  <c r="L105" i="1"/>
  <c r="L106" i="1"/>
  <c r="L107" i="1"/>
  <c r="L108" i="1"/>
  <c r="L109" i="1"/>
  <c r="L110" i="1"/>
  <c r="L111" i="1"/>
  <c r="L113" i="1"/>
  <c r="L114" i="1"/>
  <c r="L115" i="1"/>
  <c r="L116" i="1"/>
  <c r="L118" i="1"/>
  <c r="L119" i="1"/>
  <c r="L120" i="1"/>
  <c r="L121" i="1"/>
  <c r="L122" i="1"/>
  <c r="L123" i="1"/>
  <c r="L124" i="1"/>
  <c r="L126" i="1"/>
  <c r="L127" i="1"/>
  <c r="L128" i="1"/>
  <c r="L129" i="1"/>
  <c r="L130" i="1"/>
  <c r="L132" i="1"/>
  <c r="L133" i="1"/>
  <c r="L134" i="1"/>
  <c r="L136" i="1"/>
  <c r="L137" i="1"/>
  <c r="L138" i="1"/>
  <c r="L139" i="1"/>
  <c r="L141" i="1"/>
  <c r="L142" i="1"/>
  <c r="L143" i="1"/>
  <c r="L144" i="1"/>
  <c r="L145" i="1"/>
  <c r="L148" i="1"/>
  <c r="L149" i="1"/>
  <c r="L150" i="1"/>
  <c r="L151" i="1"/>
  <c r="L154" i="1"/>
  <c r="L155" i="1"/>
  <c r="L156" i="1"/>
  <c r="L157" i="1"/>
  <c r="L158" i="1"/>
  <c r="L159" i="1"/>
  <c r="L162" i="1"/>
  <c r="L163" i="1"/>
  <c r="L166" i="1"/>
  <c r="L167" i="1"/>
  <c r="L168" i="1"/>
  <c r="L16" i="1"/>
  <c r="L15" i="1"/>
  <c r="L3" i="1"/>
  <c r="L4" i="1"/>
  <c r="L5" i="1"/>
  <c r="L6" i="1"/>
  <c r="L7" i="1"/>
  <c r="L9" i="1"/>
  <c r="L11" i="1"/>
  <c r="L2" i="1"/>
  <c r="I9" i="1"/>
  <c r="I11" i="1"/>
  <c r="G2" i="1"/>
  <c r="I88" i="1"/>
  <c r="G88" i="1"/>
  <c r="I76" i="1"/>
  <c r="G76" i="1"/>
  <c r="I74" i="1"/>
  <c r="G74" i="1"/>
  <c r="I72" i="1"/>
  <c r="G72" i="1"/>
  <c r="I70" i="1"/>
  <c r="G70" i="1"/>
  <c r="L171" i="1" l="1"/>
  <c r="L170" i="1"/>
  <c r="I3" i="1"/>
  <c r="I4" i="1"/>
  <c r="I5" i="1"/>
  <c r="I6" i="1"/>
  <c r="I7" i="1"/>
  <c r="I15" i="1"/>
  <c r="I16" i="1"/>
  <c r="I18" i="1"/>
  <c r="I19" i="1"/>
  <c r="I20" i="1"/>
  <c r="I21" i="1"/>
  <c r="I22" i="1"/>
  <c r="I25" i="1"/>
  <c r="I26" i="1"/>
  <c r="I31" i="1"/>
  <c r="I32" i="1"/>
  <c r="I33" i="1"/>
  <c r="I35" i="1"/>
  <c r="I36" i="1"/>
  <c r="I38" i="1"/>
  <c r="I39" i="1"/>
  <c r="I40" i="1"/>
  <c r="I41" i="1"/>
  <c r="I44" i="1"/>
  <c r="I45" i="1"/>
  <c r="I46" i="1"/>
  <c r="I47" i="1"/>
  <c r="I48" i="1"/>
  <c r="I50" i="1"/>
  <c r="I51" i="1"/>
  <c r="I52" i="1"/>
  <c r="I53" i="1"/>
  <c r="I54" i="1"/>
  <c r="I56" i="1"/>
  <c r="I57" i="1"/>
  <c r="I58" i="1"/>
  <c r="I60" i="1"/>
  <c r="I61" i="1"/>
  <c r="I62" i="1"/>
  <c r="I63" i="1"/>
  <c r="I64" i="1"/>
  <c r="I65" i="1"/>
  <c r="I66" i="1"/>
  <c r="I67" i="1"/>
  <c r="I68" i="1"/>
  <c r="I71" i="1"/>
  <c r="I73" i="1"/>
  <c r="I75" i="1"/>
  <c r="I77" i="1"/>
  <c r="I78" i="1"/>
  <c r="I79" i="1"/>
  <c r="I80" i="1"/>
  <c r="I81" i="1"/>
  <c r="I82" i="1"/>
  <c r="I83" i="1"/>
  <c r="I84" i="1"/>
  <c r="I86" i="1"/>
  <c r="I89" i="1"/>
  <c r="I92" i="1"/>
  <c r="I93" i="1"/>
  <c r="I96" i="1"/>
  <c r="I97" i="1"/>
  <c r="I98" i="1"/>
  <c r="I101" i="1"/>
  <c r="I102" i="1"/>
  <c r="I103" i="1"/>
  <c r="I104" i="1"/>
  <c r="I105" i="1"/>
  <c r="I106" i="1"/>
  <c r="I107" i="1"/>
  <c r="I108" i="1"/>
  <c r="I109" i="1"/>
  <c r="I110" i="1"/>
  <c r="I111" i="1"/>
  <c r="I113" i="1"/>
  <c r="I114" i="1"/>
  <c r="I115" i="1"/>
  <c r="I116" i="1"/>
  <c r="I118" i="1"/>
  <c r="I119" i="1"/>
  <c r="I120" i="1"/>
  <c r="I121" i="1"/>
  <c r="I122" i="1"/>
  <c r="I123" i="1"/>
  <c r="I124" i="1"/>
  <c r="I126" i="1"/>
  <c r="I127" i="1"/>
  <c r="I128" i="1"/>
  <c r="I129" i="1"/>
  <c r="I130" i="1"/>
  <c r="I132" i="1"/>
  <c r="I133" i="1"/>
  <c r="I134" i="1"/>
  <c r="I136" i="1"/>
  <c r="I137" i="1"/>
  <c r="I138" i="1"/>
  <c r="I139" i="1"/>
  <c r="I141" i="1"/>
  <c r="I142" i="1"/>
  <c r="I143" i="1"/>
  <c r="I144" i="1"/>
  <c r="I145" i="1"/>
  <c r="I148" i="1"/>
  <c r="I149" i="1"/>
  <c r="I150" i="1"/>
  <c r="I151" i="1"/>
  <c r="I154" i="1"/>
  <c r="I155" i="1"/>
  <c r="I156" i="1"/>
  <c r="I157" i="1"/>
  <c r="I158" i="1"/>
  <c r="I159" i="1"/>
  <c r="I162" i="1"/>
  <c r="I163" i="1"/>
  <c r="I166" i="1"/>
  <c r="I167" i="1"/>
  <c r="I168" i="1"/>
  <c r="I2" i="1"/>
  <c r="L172" i="1" l="1"/>
  <c r="I171" i="1"/>
  <c r="I170" i="1"/>
  <c r="G73" i="1"/>
  <c r="G75" i="1"/>
  <c r="G77" i="1"/>
  <c r="G78" i="1"/>
  <c r="G79" i="1"/>
  <c r="G80" i="1"/>
  <c r="G81" i="1"/>
  <c r="G82" i="1"/>
  <c r="G83" i="1"/>
  <c r="G84" i="1"/>
  <c r="G86" i="1"/>
  <c r="G89" i="1"/>
  <c r="G92" i="1"/>
  <c r="G93" i="1"/>
  <c r="G96" i="1"/>
  <c r="G97" i="1"/>
  <c r="G98" i="1"/>
  <c r="G101" i="1"/>
  <c r="G102" i="1"/>
  <c r="G103" i="1"/>
  <c r="G104" i="1"/>
  <c r="G105" i="1"/>
  <c r="G106" i="1"/>
  <c r="G107" i="1"/>
  <c r="G108" i="1"/>
  <c r="G109" i="1"/>
  <c r="G110" i="1"/>
  <c r="G111" i="1"/>
  <c r="G113" i="1"/>
  <c r="G114" i="1"/>
  <c r="G115" i="1"/>
  <c r="G116" i="1"/>
  <c r="G118" i="1"/>
  <c r="G119" i="1"/>
  <c r="G120" i="1"/>
  <c r="G121" i="1"/>
  <c r="G122" i="1"/>
  <c r="G123" i="1"/>
  <c r="G124" i="1"/>
  <c r="G126" i="1"/>
  <c r="G127" i="1"/>
  <c r="G128" i="1"/>
  <c r="G129" i="1"/>
  <c r="G130" i="1"/>
  <c r="G132" i="1"/>
  <c r="G133" i="1"/>
  <c r="G134" i="1"/>
  <c r="G136" i="1"/>
  <c r="G137" i="1"/>
  <c r="G138" i="1"/>
  <c r="G139" i="1"/>
  <c r="G141" i="1"/>
  <c r="G142" i="1"/>
  <c r="G143" i="1"/>
  <c r="G144" i="1"/>
  <c r="G145" i="1"/>
  <c r="G148" i="1"/>
  <c r="G149" i="1"/>
  <c r="G150" i="1"/>
  <c r="G151" i="1"/>
  <c r="G154" i="1"/>
  <c r="G155" i="1"/>
  <c r="G156" i="1"/>
  <c r="G157" i="1"/>
  <c r="G158" i="1"/>
  <c r="G159" i="1"/>
  <c r="G162" i="1"/>
  <c r="G163" i="1"/>
  <c r="G166" i="1"/>
  <c r="G167" i="1"/>
  <c r="G168" i="1"/>
  <c r="G71" i="1"/>
  <c r="G63" i="1"/>
  <c r="G64" i="1"/>
  <c r="G65" i="1"/>
  <c r="G66" i="1"/>
  <c r="G67" i="1"/>
  <c r="G68" i="1"/>
  <c r="G18" i="1"/>
  <c r="G19" i="1"/>
  <c r="G20" i="1"/>
  <c r="G21" i="1"/>
  <c r="G22" i="1"/>
  <c r="G25" i="1"/>
  <c r="G26" i="1"/>
  <c r="G31" i="1"/>
  <c r="G32" i="1"/>
  <c r="G33" i="1"/>
  <c r="G35" i="1"/>
  <c r="G36" i="1"/>
  <c r="G38" i="1"/>
  <c r="G39" i="1"/>
  <c r="G40" i="1"/>
  <c r="G41" i="1"/>
  <c r="G44" i="1"/>
  <c r="G45" i="1"/>
  <c r="G46" i="1"/>
  <c r="G47" i="1"/>
  <c r="G48" i="1"/>
  <c r="G50" i="1"/>
  <c r="G51" i="1"/>
  <c r="G52" i="1"/>
  <c r="G53" i="1"/>
  <c r="G54" i="1"/>
  <c r="G56" i="1"/>
  <c r="G57" i="1"/>
  <c r="G58" i="1"/>
  <c r="G60" i="1"/>
  <c r="G61" i="1"/>
  <c r="G62" i="1"/>
  <c r="G15" i="1"/>
  <c r="G9" i="1"/>
  <c r="G3" i="1"/>
  <c r="G4" i="1"/>
  <c r="G5" i="1"/>
  <c r="G6" i="1"/>
  <c r="G7" i="1"/>
  <c r="G11" i="1"/>
  <c r="G16" i="1"/>
  <c r="I172" i="1" l="1"/>
</calcChain>
</file>

<file path=xl/sharedStrings.xml><?xml version="1.0" encoding="utf-8"?>
<sst xmlns="http://schemas.openxmlformats.org/spreadsheetml/2006/main" count="616" uniqueCount="344">
  <si>
    <t>ARP 101</t>
  </si>
  <si>
    <t>ARP 102</t>
  </si>
  <si>
    <t>ARP 103</t>
  </si>
  <si>
    <t>ARP 104</t>
  </si>
  <si>
    <t>ARP 105</t>
  </si>
  <si>
    <t>ARP 106</t>
  </si>
  <si>
    <t>ARP 107</t>
  </si>
  <si>
    <t>ARP 108</t>
  </si>
  <si>
    <t>ARP 109</t>
  </si>
  <si>
    <t>ml</t>
  </si>
  <si>
    <t>m2</t>
  </si>
  <si>
    <t xml:space="preserve">Picar argamassa/reboco </t>
  </si>
  <si>
    <t>m3</t>
  </si>
  <si>
    <t xml:space="preserve">Execução de reboco em argamassa de cimento </t>
  </si>
  <si>
    <t>ARP 110</t>
  </si>
  <si>
    <t xml:space="preserve">Execução de betonilha </t>
  </si>
  <si>
    <t xml:space="preserve">Execução de estuque em teto </t>
  </si>
  <si>
    <t xml:space="preserve">Executar sanca (cana e meia cana) </t>
  </si>
  <si>
    <t xml:space="preserve">Picar estuque em parede </t>
  </si>
  <si>
    <t xml:space="preserve">Picar estuque em teto </t>
  </si>
  <si>
    <t xml:space="preserve">Executar teto falso em gesso cartonado (pladur) c/estrutura  </t>
  </si>
  <si>
    <t xml:space="preserve">Execução de emboço e reboco de parede interior </t>
  </si>
  <si>
    <t xml:space="preserve">Aplicação de moldura roda-teto simples </t>
  </si>
  <si>
    <t xml:space="preserve">Assentamento de pedras (soleiras) </t>
  </si>
  <si>
    <t xml:space="preserve">Demolição e remoção de betonilha de pavimento </t>
  </si>
  <si>
    <t xml:space="preserve">Substituição de tubo PVC 40mm </t>
  </si>
  <si>
    <t xml:space="preserve">Substituição de tubo PVC 90mm </t>
  </si>
  <si>
    <t xml:space="preserve">Substituição de tubo PVC 110mm </t>
  </si>
  <si>
    <t xml:space="preserve">Substituição de sifão de pavimento </t>
  </si>
  <si>
    <t>un</t>
  </si>
  <si>
    <t xml:space="preserve">Substituição de válvula de banheira </t>
  </si>
  <si>
    <t xml:space="preserve">Substiuição de válvula de bidé/lavatório </t>
  </si>
  <si>
    <t xml:space="preserve">Substituição de tubo de 22mm </t>
  </si>
  <si>
    <t xml:space="preserve">Substituição de tubo de 28mm </t>
  </si>
  <si>
    <t xml:space="preserve">Retirada de banheira (mão-de-obra) </t>
  </si>
  <si>
    <t xml:space="preserve">Colocação de banheira </t>
  </si>
  <si>
    <t xml:space="preserve">Vedações e impermeabilizações (inclui cola e veda) </t>
  </si>
  <si>
    <t xml:space="preserve">Pintura com tinta esmalte aquoso (regular) </t>
  </si>
  <si>
    <t xml:space="preserve">Aplicação de impermeabilizante liquido </t>
  </si>
  <si>
    <t xml:space="preserve">Preparação de paredes ( emassar) </t>
  </si>
  <si>
    <t xml:space="preserve">Preparação de paredes (lixar) </t>
  </si>
  <si>
    <t xml:space="preserve">Remover papel de parede e limpeza de colas </t>
  </si>
  <si>
    <t xml:space="preserve">Aplicação de tapa poros </t>
  </si>
  <si>
    <t xml:space="preserve">Aplicação de verniz aquoso em obra </t>
  </si>
  <si>
    <t xml:space="preserve">Preparação e envernizamento de rodapé </t>
  </si>
  <si>
    <t xml:space="preserve">Preparação e lacagem de rodapé </t>
  </si>
  <si>
    <t xml:space="preserve">Preparação e envernizamento de aros e guarnições </t>
  </si>
  <si>
    <t>ARP1804</t>
  </si>
  <si>
    <t>ARP1805</t>
  </si>
  <si>
    <t>ARP1901</t>
  </si>
  <si>
    <t>ARP1902</t>
  </si>
  <si>
    <t>ARP1903</t>
  </si>
  <si>
    <t>ARP1904</t>
  </si>
  <si>
    <t>ARP1905</t>
  </si>
  <si>
    <t xml:space="preserve">Preparação e barramento </t>
  </si>
  <si>
    <t xml:space="preserve">Afagar e encerar (2 demãos) </t>
  </si>
  <si>
    <t xml:space="preserve">Afagar e envernizar c/poliuretano (3 demãos) </t>
  </si>
  <si>
    <t xml:space="preserve">Remoção de materiais de pavimentos em madeira </t>
  </si>
  <si>
    <t>ARP2101</t>
  </si>
  <si>
    <t xml:space="preserve">Mão-de-obra Pedreiro </t>
  </si>
  <si>
    <t>h</t>
  </si>
  <si>
    <t>ARP2102</t>
  </si>
  <si>
    <t>ARP2103</t>
  </si>
  <si>
    <t>ARP2104</t>
  </si>
  <si>
    <t>ARP2105</t>
  </si>
  <si>
    <t>ARP2106</t>
  </si>
  <si>
    <t xml:space="preserve">Mão-de-obra Estucador </t>
  </si>
  <si>
    <t xml:space="preserve">Mão-de-obra Ladrilhador </t>
  </si>
  <si>
    <t xml:space="preserve">Mão-de-obra Carpinteiro </t>
  </si>
  <si>
    <t xml:space="preserve">Mão-de-obra Eletricista </t>
  </si>
  <si>
    <t xml:space="preserve">Mão-de-obra Ajudante </t>
  </si>
  <si>
    <t>ARP2201</t>
  </si>
  <si>
    <t>ARP2202</t>
  </si>
  <si>
    <t>ARP2203</t>
  </si>
  <si>
    <t>ARP2204</t>
  </si>
  <si>
    <t>ARP2205</t>
  </si>
  <si>
    <t xml:space="preserve">Estruturas e instalações provisórias </t>
  </si>
  <si>
    <t>dia</t>
  </si>
  <si>
    <t xml:space="preserve">Desmontar/montar armários e estruturas fixas </t>
  </si>
  <si>
    <t xml:space="preserve">Desmontar/montar mobiliário </t>
  </si>
  <si>
    <t>Betumar juntas de cerâmico</t>
  </si>
  <si>
    <t>Regularização de paredes com reboco areado</t>
  </si>
  <si>
    <t>Remoção de cerâmico e respetiva cola</t>
  </si>
  <si>
    <t>Assentamento de cerâmico - medidas regulares</t>
  </si>
  <si>
    <t>Substituição de tubo de 1/2" e respetivos acessórios</t>
  </si>
  <si>
    <t>Substituição de tubo de 3/4" e respetivos acessórios</t>
  </si>
  <si>
    <t>Substituição de tubo de 1" e respetivos acessórios</t>
  </si>
  <si>
    <t xml:space="preserve">Substituição de tubo PVC 50mm </t>
  </si>
  <si>
    <t xml:space="preserve">Substituição de tubo PVC 63mm </t>
  </si>
  <si>
    <t>Desentupimentos Grande Porto com recurso a meios mecânicos/hidráulicos</t>
  </si>
  <si>
    <t>Desentupimentos fora do Grande Porto com recurso a meios mecânicos/hidráulicos</t>
  </si>
  <si>
    <t>Desentupimento e limpeza simples de drenagens de W.C.</t>
  </si>
  <si>
    <t>Desentupimento e limpeza simples de drenagens de cozinha</t>
  </si>
  <si>
    <t xml:space="preserve">Preparação de tetos ( emassar) </t>
  </si>
  <si>
    <t xml:space="preserve">Preparação de tetos (lixar) </t>
  </si>
  <si>
    <t xml:space="preserve">Forcimento e aplicação de Rodapé em MDF </t>
  </si>
  <si>
    <t xml:space="preserve">Fornecimento e aplicação de Lamparquet Iroko 30cm </t>
  </si>
  <si>
    <t xml:space="preserve">Fornecimento e aplicação de Lamparquet Jatobá 30cm </t>
  </si>
  <si>
    <t xml:space="preserve">Fornecimento e aplicação de flutuante 10mm carvalho/faia 3 lamelas </t>
  </si>
  <si>
    <t xml:space="preserve">Fornecimento e aplicação de flutuante Quick Step Classic (inclui tela em espuma)  </t>
  </si>
  <si>
    <t>Proteção da zona a intervir (desde da entrada da fração até ao local de intervenção)</t>
  </si>
  <si>
    <t>Remoção de inertes/escombros a vazadouro num raio máximo de 50 km (prédio com elevador ou moradia)</t>
  </si>
  <si>
    <t>ARP2206</t>
  </si>
  <si>
    <t>Limpeza final de obra da zona a intervir</t>
  </si>
  <si>
    <t>uni</t>
  </si>
  <si>
    <t>Limpeza final de obra da zona a intervir - trabalhos de carpintaria</t>
  </si>
  <si>
    <t>Movimentação de mobiliário (por divisão)</t>
  </si>
  <si>
    <t>div.</t>
  </si>
  <si>
    <t>Pintura com tinta plástica sancas</t>
  </si>
  <si>
    <t>Aplicação de autonivelante para regularização de pavimento</t>
  </si>
  <si>
    <t>ARP 111</t>
  </si>
  <si>
    <t>ARP 112</t>
  </si>
  <si>
    <t>Abertura de vala com meios manuais até 40 cm profundidade</t>
  </si>
  <si>
    <t xml:space="preserve">Remoção de sanca (cana e meia cana) </t>
  </si>
  <si>
    <t>Substituição de válvula de base</t>
  </si>
  <si>
    <t>NOVO ITEM</t>
  </si>
  <si>
    <t>ARP2207</t>
  </si>
  <si>
    <t>ARP2208</t>
  </si>
  <si>
    <t>%</t>
  </si>
  <si>
    <t>PROPOSTA
AGEAS REPARA</t>
  </si>
  <si>
    <t>NOTA A</t>
  </si>
  <si>
    <t>NOTA B</t>
  </si>
  <si>
    <t>NOTA C</t>
  </si>
  <si>
    <t>NOTA D</t>
  </si>
  <si>
    <t>Aumento Médio</t>
  </si>
  <si>
    <t>OK</t>
  </si>
  <si>
    <t>VALOR ACIMA DE OUTROS PRESTADORES</t>
  </si>
  <si>
    <t>AUMENTO PERCENTUAL EXAGERADO</t>
  </si>
  <si>
    <t>INCLUIR ESCALÃO PARA QUANTIDADE</t>
  </si>
  <si>
    <t>NOTAS</t>
  </si>
  <si>
    <t>CÓDIGO</t>
  </si>
  <si>
    <t>DESCRIÇÃO</t>
  </si>
  <si>
    <t>UNID</t>
  </si>
  <si>
    <t>NOVO VALOR</t>
  </si>
  <si>
    <t>VALOR ANTERIOR</t>
  </si>
  <si>
    <t>NOVA PROPOSTA
ARP 09/12/2021</t>
  </si>
  <si>
    <t>VALORES ATUAIS JANEIRO 2025</t>
  </si>
  <si>
    <t>ARP2107</t>
  </si>
  <si>
    <t>ARP1806</t>
  </si>
  <si>
    <t>Fornecimento e aplicação de pavimento multicamanda (Pré-acabado)</t>
  </si>
  <si>
    <t>Mão-de-obra Canalizador</t>
  </si>
  <si>
    <t>ARP 001</t>
  </si>
  <si>
    <t>Abertura de roços em alvernaria</t>
  </si>
  <si>
    <t>ARP 002</t>
  </si>
  <si>
    <t>Abertura de roços em betão</t>
  </si>
  <si>
    <t>ARP 003</t>
  </si>
  <si>
    <t>ARP 004</t>
  </si>
  <si>
    <t>ARP 005</t>
  </si>
  <si>
    <t>ARP 006</t>
  </si>
  <si>
    <t xml:space="preserve">Afagar e envernizar com 3 demãos verniz </t>
  </si>
  <si>
    <t>ARP 007</t>
  </si>
  <si>
    <t>ARP 008</t>
  </si>
  <si>
    <t>ARP 009</t>
  </si>
  <si>
    <t>ARP 010</t>
  </si>
  <si>
    <t>Aplicação de pintura de esmalte aquoso</t>
  </si>
  <si>
    <t>ARP 011</t>
  </si>
  <si>
    <t>ARP 012</t>
  </si>
  <si>
    <t>ARP 013</t>
  </si>
  <si>
    <t xml:space="preserve">Aplicação de verniz celuloso </t>
  </si>
  <si>
    <t>ARP 014</t>
  </si>
  <si>
    <t xml:space="preserve">Aplicação de verniz sintético </t>
  </si>
  <si>
    <t>ARP 015</t>
  </si>
  <si>
    <t>ARP 016</t>
  </si>
  <si>
    <t>ARP 017</t>
  </si>
  <si>
    <t>ARP 018</t>
  </si>
  <si>
    <t>Colocação de aduelas e guarnições</t>
  </si>
  <si>
    <t>ARP 019</t>
  </si>
  <si>
    <t xml:space="preserve">Colocação de apainelados de portas/janelas </t>
  </si>
  <si>
    <t>ARP 020</t>
  </si>
  <si>
    <t>ARP 021</t>
  </si>
  <si>
    <t xml:space="preserve">Colocação de grelha de visita </t>
  </si>
  <si>
    <t>ARP 022</t>
  </si>
  <si>
    <t>Colocação de porta c/ferragem</t>
  </si>
  <si>
    <t>ARP 023</t>
  </si>
  <si>
    <t>Colocação de rodapés</t>
  </si>
  <si>
    <t>ARP 024</t>
  </si>
  <si>
    <t>Construção de parede de alvenaria de tijolo  11 cm</t>
  </si>
  <si>
    <t>ARP 025</t>
  </si>
  <si>
    <t>Construção de parede de alvenaria de tijolo 7 cm</t>
  </si>
  <si>
    <t>ARP 026</t>
  </si>
  <si>
    <t>Demolição de pano interior de alvenaria</t>
  </si>
  <si>
    <t>ARP 027</t>
  </si>
  <si>
    <t xml:space="preserve">Demolição de parede e/ou teto falso de gesso cartonado </t>
  </si>
  <si>
    <t>ARP 028</t>
  </si>
  <si>
    <t>Demolição de revestimento lã de rocha</t>
  </si>
  <si>
    <t>ARP 029</t>
  </si>
  <si>
    <t>ARP 030</t>
  </si>
  <si>
    <t>ARP 031</t>
  </si>
  <si>
    <t>ARP 032</t>
  </si>
  <si>
    <t>ARP 033</t>
  </si>
  <si>
    <t>ARP 034</t>
  </si>
  <si>
    <t xml:space="preserve">Desmontagem de lavatório </t>
  </si>
  <si>
    <t>ARP 035</t>
  </si>
  <si>
    <t>Desmontagem de louças sanitárias (divisão completa)</t>
  </si>
  <si>
    <t>vg</t>
  </si>
  <si>
    <t>ARP 036</t>
  </si>
  <si>
    <t>Desmontagem de móveis de cozinha e wc (unidades s/ pedra)</t>
  </si>
  <si>
    <t>ARP 037</t>
  </si>
  <si>
    <t xml:space="preserve">Desmontagem de armários e estruturas fixas </t>
  </si>
  <si>
    <t>ARP 038</t>
  </si>
  <si>
    <t xml:space="preserve">Desmontagem de autoclismo exterior </t>
  </si>
  <si>
    <t>ARP 039</t>
  </si>
  <si>
    <t xml:space="preserve">Desmontagem de bidé </t>
  </si>
  <si>
    <t>ARP 040</t>
  </si>
  <si>
    <t>Desmontagem de misturadora / torneira</t>
  </si>
  <si>
    <t>ARP 041</t>
  </si>
  <si>
    <t xml:space="preserve">Desmontagem de sanita </t>
  </si>
  <si>
    <t>ARP 042</t>
  </si>
  <si>
    <t>Deteção de roturas em rede de abastecimento de água através de equipamento ultrassons</t>
  </si>
  <si>
    <t>ARP 043</t>
  </si>
  <si>
    <t>Deteção de roturas em rede de abastecimento de água c/ injeçao de gas traçador</t>
  </si>
  <si>
    <t>ARP 044</t>
  </si>
  <si>
    <t>Deteção de roturas em rede de drenagem através de sonda de vídeo com captura de imagens</t>
  </si>
  <si>
    <t>ARP 045</t>
  </si>
  <si>
    <t>ARP 046</t>
  </si>
  <si>
    <t>ARP 047</t>
  </si>
  <si>
    <t>Execução de betonilha de regularização</t>
  </si>
  <si>
    <t>ARP 048</t>
  </si>
  <si>
    <t>ARP 049</t>
  </si>
  <si>
    <t>Execução de estuque em parede</t>
  </si>
  <si>
    <t>ARP 050</t>
  </si>
  <si>
    <t>ARP 051</t>
  </si>
  <si>
    <t>ARP 052</t>
  </si>
  <si>
    <t xml:space="preserve">Executar parede em gesso cartonado (pladur) c/estrutura </t>
  </si>
  <si>
    <t>ARP 053</t>
  </si>
  <si>
    <t>ARP 054</t>
  </si>
  <si>
    <t xml:space="preserve">Executar teto em gesso cartonado hidrofugo (pladur) s/ estrutura </t>
  </si>
  <si>
    <t>ARP 055</t>
  </si>
  <si>
    <t>Executar teto em gesso cartonado standart (pladur) s/ estrutura</t>
  </si>
  <si>
    <t>ARP 056</t>
  </si>
  <si>
    <t>ARP 057</t>
  </si>
  <si>
    <t>Fecho de abertura/roço com betão</t>
  </si>
  <si>
    <t>ARP 058</t>
  </si>
  <si>
    <t>Fecho de roço em parede rebocada</t>
  </si>
  <si>
    <t>ARP 059</t>
  </si>
  <si>
    <t>ARP 060</t>
  </si>
  <si>
    <t>Fornecimento de cerâmico - medidas regulares</t>
  </si>
  <si>
    <t>ARP 061</t>
  </si>
  <si>
    <t xml:space="preserve">Fornecimento e aplicação de pavimento flutuante 7mm FINSA </t>
  </si>
  <si>
    <t>ARP 062</t>
  </si>
  <si>
    <t xml:space="preserve">Fornecimento e aplicação de pavimento flutuante 12mm FINSA </t>
  </si>
  <si>
    <t>ARP 063</t>
  </si>
  <si>
    <t xml:space="preserve">Fornecimento e aplicação de pavimento vinílico 5,5mm FINSA </t>
  </si>
  <si>
    <t>ARP 064</t>
  </si>
  <si>
    <t xml:space="preserve">Fornecimento e aplicação de Lamparquet Carvalho/Faia 25/30cm </t>
  </si>
  <si>
    <t>ARP 065</t>
  </si>
  <si>
    <t xml:space="preserve">Fornecimento e aplicação de Lamparquet Carvalho/Faia 49x49x1 </t>
  </si>
  <si>
    <t>ARP 066</t>
  </si>
  <si>
    <t>ARP 067</t>
  </si>
  <si>
    <t>ARP 068</t>
  </si>
  <si>
    <r>
      <t xml:space="preserve">Fornecimento e aplicação de papel de parede qualidade média </t>
    </r>
    <r>
      <rPr>
        <b/>
        <sz val="14"/>
        <color theme="1"/>
        <rFont val="Calibri"/>
        <family val="2"/>
        <scheme val="minor"/>
      </rPr>
      <t>(papel até 30€/m2)</t>
    </r>
  </si>
  <si>
    <t>ARP 069</t>
  </si>
  <si>
    <t>Fornecimento e aplicação de primário (- 50m2)</t>
  </si>
  <si>
    <t>ARP 070</t>
  </si>
  <si>
    <t>Fornecimento e aplicação de primário (+ 51m2)</t>
  </si>
  <si>
    <t>ARP 071</t>
  </si>
  <si>
    <t xml:space="preserve">Fornecimento e aplicação rodapé folheado </t>
  </si>
  <si>
    <t>ARP 072</t>
  </si>
  <si>
    <t>Fornecimento e aplicação de rodapé maciço 10cm (s/ acabemento)</t>
  </si>
  <si>
    <t>ARP 073</t>
  </si>
  <si>
    <t>Fornecimento e aplicação de rodapé maciço 7cm (s/ acabemento)</t>
  </si>
  <si>
    <t>ARP 074</t>
  </si>
  <si>
    <t>Fornecimento e aplicação de rodapé MDF</t>
  </si>
  <si>
    <t>ARP 075</t>
  </si>
  <si>
    <t>Fornecimento e aplicaçao de soalho Lamparquet de 30cm (10 mm) carvalho/faia</t>
  </si>
  <si>
    <t>ARP 076</t>
  </si>
  <si>
    <t>Fornecimento e aplicação de soalho de taco pinho 20x10cm (20mm)</t>
  </si>
  <si>
    <t>ARP 077</t>
  </si>
  <si>
    <t xml:space="preserve">Fornecimento e aplicação de soalho de Carvalho macheado 18,20 , 22 e32 mm </t>
  </si>
  <si>
    <t>ARP 078</t>
  </si>
  <si>
    <t xml:space="preserve">Fornecimento e aplicação de soalho de Faia macheado 18,20,22 e 32mm </t>
  </si>
  <si>
    <t>ARP 079</t>
  </si>
  <si>
    <t xml:space="preserve">Fornecimento e aplicação de soalho de Garapa macheado 18,20 , 22 e 32mm </t>
  </si>
  <si>
    <t>ARP 080</t>
  </si>
  <si>
    <t xml:space="preserve">Fornecimento e aplicação de soalho de Jatobá macheado 18,20 , 22 e 32mm </t>
  </si>
  <si>
    <t>ARP 081</t>
  </si>
  <si>
    <t xml:space="preserve">Fornecimento e aplicação de soalho de Pinho macheado 18,20 , 22 e 32mm </t>
  </si>
  <si>
    <t>ARP 082</t>
  </si>
  <si>
    <t xml:space="preserve">Fornecimento e execução de divisória em gesso cartonado c/ estrutura </t>
  </si>
  <si>
    <t>ARP 083</t>
  </si>
  <si>
    <t>ARP 084</t>
  </si>
  <si>
    <t>ARP 085</t>
  </si>
  <si>
    <t>ARP 086</t>
  </si>
  <si>
    <t>ARP 087</t>
  </si>
  <si>
    <t>ARP 088</t>
  </si>
  <si>
    <t>ARP 089</t>
  </si>
  <si>
    <t>ARP 090</t>
  </si>
  <si>
    <t>ARP 091</t>
  </si>
  <si>
    <t>Montar armários e estruturas fixas</t>
  </si>
  <si>
    <t>ARP 092</t>
  </si>
  <si>
    <t>Montar autoclismo exterior</t>
  </si>
  <si>
    <t>ARP 093</t>
  </si>
  <si>
    <t xml:space="preserve">Montar bidé </t>
  </si>
  <si>
    <t>ARP 094</t>
  </si>
  <si>
    <t xml:space="preserve">Montar lavatório / móvel lavatorio  </t>
  </si>
  <si>
    <t>ARP 095</t>
  </si>
  <si>
    <t>Montar misturadora / torneira (unidade)</t>
  </si>
  <si>
    <t>ARP 096</t>
  </si>
  <si>
    <t xml:space="preserve">Montar sanita </t>
  </si>
  <si>
    <t>ARP 097</t>
  </si>
  <si>
    <t>ARP 098</t>
  </si>
  <si>
    <t>ARP 099</t>
  </si>
  <si>
    <t>Picar parede/pavimento em betão</t>
  </si>
  <si>
    <t>ARP 100</t>
  </si>
  <si>
    <t>Pintar tinta plástica interior/exterior (regular -50m2)</t>
  </si>
  <si>
    <t>Pintar tinta plástica interior/exterior (regular +51m2)</t>
  </si>
  <si>
    <t xml:space="preserve">Pintura c/ tinta de esmalte </t>
  </si>
  <si>
    <t>Pintura c/ tinta de areia</t>
  </si>
  <si>
    <t>Pintura c/ tinta de kerapas</t>
  </si>
  <si>
    <t>ARP 113</t>
  </si>
  <si>
    <t>ARP 114</t>
  </si>
  <si>
    <t>ARP 115</t>
  </si>
  <si>
    <t>ARP 116</t>
  </si>
  <si>
    <t>Preparação e lacagem de aros e guarnições (em obra)</t>
  </si>
  <si>
    <t>ARP 117</t>
  </si>
  <si>
    <t>ARP 118</t>
  </si>
  <si>
    <t>ARP 119</t>
  </si>
  <si>
    <t>Remoção de aduelas e guarnições</t>
  </si>
  <si>
    <t>ARP 120</t>
  </si>
  <si>
    <t xml:space="preserve">Remoção de apainelados de portas/janelas </t>
  </si>
  <si>
    <t>ARP 121</t>
  </si>
  <si>
    <t>ARP 122</t>
  </si>
  <si>
    <t>ARP 123</t>
  </si>
  <si>
    <t xml:space="preserve">Remoção de porta c/ferrag. </t>
  </si>
  <si>
    <t>ARP 124</t>
  </si>
  <si>
    <t>Remoção de rodapés</t>
  </si>
  <si>
    <t>ARP 125</t>
  </si>
  <si>
    <t>ARP 126</t>
  </si>
  <si>
    <t>ARP 127</t>
  </si>
  <si>
    <t>ARP 128</t>
  </si>
  <si>
    <t>ARP 129</t>
  </si>
  <si>
    <t>ARP 130</t>
  </si>
  <si>
    <t>ARP 131</t>
  </si>
  <si>
    <t>ARP 132</t>
  </si>
  <si>
    <t>ARP 133</t>
  </si>
  <si>
    <t>ARP 134</t>
  </si>
  <si>
    <t>ARP 135</t>
  </si>
  <si>
    <t>ARP 136</t>
  </si>
  <si>
    <t>ARP 137</t>
  </si>
  <si>
    <t>ARP 138</t>
  </si>
  <si>
    <t>ARP 139</t>
  </si>
  <si>
    <t>ARP 140</t>
  </si>
  <si>
    <t>ARP 141</t>
  </si>
  <si>
    <t>ARP 142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</si>
</sst>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€&quot;_-;\-* #,##0.00\ &quot;€&quot;_-;_-* &quot;-&quot;??\ &quot;€&quot;_-;_-@_-"/>
    <numFmt numFmtId="164" formatCode="#,##0.00\ &quot;€&quot;"/>
    <numFmt numFmtId="165" formatCode="0.0%"/>
    <numFmt numFmtId="166" formatCode="_-* #,##0.00\ [$€-816]_-;\-* #,##0.00\ [$€-816]_-;_-* &quot;-&quot;??\ [$€-816]_-;_-@_-"/>
  </numFmts>
  <fonts count="1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9"/>
      <color rgb="FF00B0F0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000000"/>
      <name val="Calibri"/>
      <family val="2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64">
    <xf numFmtId="0" fontId="0" fillId="0" borderId="0" xfId="0"/>
    <xf numFmtId="0" fontId="3" fillId="0" borderId="0" xfId="0" applyFont="1"/>
    <xf numFmtId="44" fontId="3" fillId="0" borderId="0" xfId="1" applyFont="1" applyFill="1"/>
    <xf numFmtId="164" fontId="3" fillId="0" borderId="0" xfId="0" applyNumberFormat="1" applyFont="1"/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/>
    </xf>
    <xf numFmtId="10" fontId="3" fillId="0" borderId="0" xfId="2" applyNumberFormat="1" applyFont="1" applyFill="1" applyAlignment="1">
      <alignment horizontal="center"/>
    </xf>
    <xf numFmtId="0" fontId="7" fillId="0" borderId="0" xfId="0" applyFont="1" applyAlignment="1">
      <alignment horizontal="center"/>
    </xf>
    <xf numFmtId="164" fontId="7" fillId="0" borderId="0" xfId="0" applyNumberFormat="1" applyFont="1"/>
    <xf numFmtId="164" fontId="3" fillId="4" borderId="2" xfId="0" applyNumberFormat="1" applyFont="1" applyFill="1" applyBorder="1"/>
    <xf numFmtId="10" fontId="3" fillId="0" borderId="2" xfId="2" applyNumberFormat="1" applyFont="1" applyFill="1" applyBorder="1" applyAlignment="1"/>
    <xf numFmtId="164" fontId="3" fillId="5" borderId="2" xfId="0" applyNumberFormat="1" applyFont="1" applyFill="1" applyBorder="1"/>
    <xf numFmtId="10" fontId="3" fillId="5" borderId="2" xfId="2" applyNumberFormat="1" applyFont="1" applyFill="1" applyBorder="1" applyAlignment="1"/>
    <xf numFmtId="0" fontId="3" fillId="0" borderId="2" xfId="0" applyFont="1" applyBorder="1" applyAlignment="1">
      <alignment horizontal="center"/>
    </xf>
    <xf numFmtId="0" fontId="3" fillId="0" borderId="2" xfId="0" applyFont="1" applyBorder="1"/>
    <xf numFmtId="44" fontId="3" fillId="0" borderId="2" xfId="1" applyFont="1" applyFill="1" applyBorder="1" applyAlignment="1">
      <alignment horizontal="center"/>
    </xf>
    <xf numFmtId="164" fontId="3" fillId="2" borderId="2" xfId="0" applyNumberFormat="1" applyFont="1" applyFill="1" applyBorder="1"/>
    <xf numFmtId="165" fontId="3" fillId="0" borderId="2" xfId="2" applyNumberFormat="1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2" xfId="0" applyFont="1" applyFill="1" applyBorder="1"/>
    <xf numFmtId="44" fontId="3" fillId="5" borderId="2" xfId="1" applyFont="1" applyFill="1" applyBorder="1" applyAlignment="1">
      <alignment horizontal="center"/>
    </xf>
    <xf numFmtId="165" fontId="3" fillId="5" borderId="2" xfId="2" applyNumberFormat="1" applyFont="1" applyFill="1" applyBorder="1" applyAlignment="1">
      <alignment horizontal="center"/>
    </xf>
    <xf numFmtId="164" fontId="3" fillId="3" borderId="2" xfId="0" applyNumberFormat="1" applyFont="1" applyFill="1" applyBorder="1"/>
    <xf numFmtId="164" fontId="5" fillId="2" borderId="2" xfId="0" applyNumberFormat="1" applyFont="1" applyFill="1" applyBorder="1"/>
    <xf numFmtId="164" fontId="5" fillId="4" borderId="2" xfId="0" applyNumberFormat="1" applyFont="1" applyFill="1" applyBorder="1"/>
    <xf numFmtId="164" fontId="5" fillId="3" borderId="2" xfId="0" applyNumberFormat="1" applyFont="1" applyFill="1" applyBorder="1"/>
    <xf numFmtId="164" fontId="5" fillId="5" borderId="2" xfId="0" applyNumberFormat="1" applyFont="1" applyFill="1" applyBorder="1"/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4" fontId="4" fillId="0" borderId="5" xfId="1" applyFont="1" applyFill="1" applyBorder="1" applyAlignment="1">
      <alignment horizontal="center" vertical="center" wrapText="1"/>
    </xf>
    <xf numFmtId="164" fontId="4" fillId="2" borderId="5" xfId="0" applyNumberFormat="1" applyFont="1" applyFill="1" applyBorder="1" applyAlignment="1">
      <alignment horizontal="center" vertical="center" wrapText="1"/>
    </xf>
    <xf numFmtId="164" fontId="4" fillId="4" borderId="5" xfId="0" applyNumberFormat="1" applyFont="1" applyFill="1" applyBorder="1" applyAlignment="1">
      <alignment horizontal="center" vertical="center" wrapText="1"/>
    </xf>
    <xf numFmtId="44" fontId="3" fillId="0" borderId="2" xfId="1" applyFont="1" applyFill="1" applyBorder="1" applyAlignment="1">
      <alignment horizontal="right"/>
    </xf>
    <xf numFmtId="0" fontId="3" fillId="0" borderId="2" xfId="0" applyFont="1" applyBorder="1" applyAlignment="1">
      <alignment horizontal="left"/>
    </xf>
    <xf numFmtId="166" fontId="3" fillId="0" borderId="0" xfId="0" applyNumberFormat="1" applyFont="1"/>
    <xf numFmtId="10" fontId="3" fillId="2" borderId="1" xfId="2" applyNumberFormat="1" applyFont="1" applyFill="1" applyBorder="1" applyAlignment="1"/>
    <xf numFmtId="164" fontId="3" fillId="0" borderId="2" xfId="0" applyNumberFormat="1" applyFont="1" applyBorder="1"/>
    <xf numFmtId="164" fontId="4" fillId="4" borderId="2" xfId="0" applyNumberFormat="1" applyFont="1" applyFill="1" applyBorder="1" applyAlignment="1">
      <alignment horizontal="center" vertical="center" wrapText="1"/>
    </xf>
    <xf numFmtId="166" fontId="3" fillId="4" borderId="2" xfId="0" applyNumberFormat="1" applyFont="1" applyFill="1" applyBorder="1"/>
    <xf numFmtId="10" fontId="3" fillId="4" borderId="3" xfId="2" applyNumberFormat="1" applyFont="1" applyFill="1" applyBorder="1" applyAlignment="1"/>
    <xf numFmtId="10" fontId="3" fillId="4" borderId="1" xfId="2" applyNumberFormat="1" applyFont="1" applyFill="1" applyBorder="1" applyAlignment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44" fontId="3" fillId="0" borderId="1" xfId="1" applyFont="1" applyFill="1" applyBorder="1" applyAlignment="1">
      <alignment horizontal="center"/>
    </xf>
    <xf numFmtId="10" fontId="3" fillId="0" borderId="1" xfId="2" applyNumberFormat="1" applyFont="1" applyFill="1" applyBorder="1" applyAlignment="1"/>
    <xf numFmtId="164" fontId="3" fillId="2" borderId="1" xfId="0" applyNumberFormat="1" applyFont="1" applyFill="1" applyBorder="1"/>
    <xf numFmtId="164" fontId="3" fillId="4" borderId="1" xfId="0" applyNumberFormat="1" applyFont="1" applyFill="1" applyBorder="1"/>
    <xf numFmtId="165" fontId="3" fillId="0" borderId="1" xfId="2" applyNumberFormat="1" applyFont="1" applyFill="1" applyBorder="1" applyAlignment="1">
      <alignment horizontal="center"/>
    </xf>
    <xf numFmtId="166" fontId="3" fillId="4" borderId="1" xfId="0" applyNumberFormat="1" applyFont="1" applyFill="1" applyBorder="1"/>
    <xf numFmtId="44" fontId="3" fillId="0" borderId="1" xfId="1" applyFont="1" applyFill="1" applyBorder="1" applyAlignment="1">
      <alignment horizontal="right"/>
    </xf>
    <xf numFmtId="164" fontId="3" fillId="3" borderId="1" xfId="0" applyNumberFormat="1" applyFont="1" applyFill="1" applyBorder="1"/>
    <xf numFmtId="44" fontId="8" fillId="0" borderId="2" xfId="1" applyFont="1" applyFill="1" applyBorder="1" applyAlignment="1">
      <alignment horizontal="center"/>
    </xf>
    <xf numFmtId="44" fontId="8" fillId="5" borderId="2" xfId="1" applyFont="1" applyFill="1" applyBorder="1" applyAlignment="1">
      <alignment horizontal="center"/>
    </xf>
    <xf numFmtId="44" fontId="8" fillId="0" borderId="2" xfId="1" applyFont="1" applyFill="1" applyBorder="1" applyAlignment="1"/>
    <xf numFmtId="0" fontId="0" fillId="0" borderId="2" xfId="0" applyBorder="1" applyAlignment="1">
      <alignment horizontal="center"/>
    </xf>
    <xf numFmtId="0" fontId="9" fillId="0" borderId="2" xfId="0" applyFont="1" applyBorder="1"/>
    <xf numFmtId="0" fontId="9" fillId="0" borderId="2" xfId="0" applyFont="1" applyBorder="1" applyAlignment="1">
      <alignment horizontal="center"/>
    </xf>
    <xf numFmtId="44" fontId="9" fillId="0" borderId="2" xfId="1" applyFont="1" applyFill="1" applyBorder="1"/>
    <xf numFmtId="0" fontId="9" fillId="0" borderId="2" xfId="0" applyFont="1" applyBorder="1" applyAlignment="1">
      <alignment vertical="center"/>
    </xf>
    <xf numFmtId="166" fontId="10" fillId="0" borderId="2" xfId="0" applyNumberFormat="1" applyFont="1" applyBorder="1"/>
    <xf numFmtId="44" fontId="9" fillId="0" borderId="2" xfId="1" applyFont="1" applyFill="1" applyBorder="1" applyAlignment="1">
      <alignment horizontal="center"/>
    </xf>
    <xf numFmtId="0" fontId="9" fillId="0" borderId="2" xfId="0" applyFont="1" applyBorder="1" applyAlignment="1">
      <alignment horizontal="left"/>
    </xf>
    <xf numFmtId="44" fontId="9" fillId="0" borderId="2" xfId="1" applyFont="1" applyFill="1" applyBorder="1" applyAlignment="1"/>
    <xf numFmtId="0" fontId="10" fillId="0" borderId="2" xfId="0" applyFont="1" applyBorder="1"/>
  </cellXfs>
  <cellStyles count="3">
    <cellStyle name="Moeda" xfId="1" builtinId="4"/>
    <cellStyle name="Normal" xfId="0" builtinId="0"/>
    <cellStyle name="Pe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181"/>
  <sheetViews>
    <sheetView tabSelected="1" zoomScale="110" zoomScaleNormal="110" workbookViewId="0">
      <pane ySplit="1" topLeftCell="A2" activePane="bottomLeft" state="frozen"/>
      <selection pane="bottomLeft" activeCell="C7" sqref="C7"/>
    </sheetView>
  </sheetViews>
  <sheetFormatPr defaultColWidth="8.85546875" defaultRowHeight="12" x14ac:dyDescent="0.2"/>
  <cols>
    <col min="1" max="1" width="2.28515625" style="1" customWidth="1"/>
    <col min="2" max="2" width="11" style="1" customWidth="1"/>
    <col min="3" max="3" width="107" style="1" bestFit="1" customWidth="1"/>
    <col min="4" max="4" width="7" style="1" customWidth="1"/>
    <col min="5" max="5" width="9" style="2" hidden="1" customWidth="1"/>
    <col min="6" max="6" width="9.140625" style="2" hidden="1" customWidth="1"/>
    <col min="7" max="7" width="8.5703125" style="1" hidden="1" customWidth="1"/>
    <col min="8" max="8" width="9.7109375" style="3" hidden="1" customWidth="1"/>
    <col min="9" max="9" width="8" style="1" hidden="1" customWidth="1"/>
    <col min="10" max="10" width="10" style="3" hidden="1" customWidth="1"/>
    <col min="11" max="11" width="8.85546875" style="5" hidden="1" customWidth="1"/>
    <col min="12" max="12" width="6.42578125" style="5" hidden="1" customWidth="1"/>
    <col min="13" max="13" width="26.85546875" style="1" hidden="1" customWidth="1"/>
    <col min="14" max="14" width="14.85546875" style="34" customWidth="1"/>
    <col min="15" max="16384" width="8.85546875" style="1"/>
  </cols>
  <sheetData>
    <row r="1" spans="2:15" ht="48" x14ac:dyDescent="0.2">
      <c r="B1" s="27" t="s">
        <v>130</v>
      </c>
      <c r="C1" s="28" t="s">
        <v>131</v>
      </c>
      <c r="D1" s="28" t="s">
        <v>132</v>
      </c>
      <c r="E1" s="29" t="s">
        <v>133</v>
      </c>
      <c r="F1" s="29" t="s">
        <v>134</v>
      </c>
      <c r="G1" s="28" t="s">
        <v>118</v>
      </c>
      <c r="H1" s="30" t="s">
        <v>119</v>
      </c>
      <c r="I1" s="28" t="s">
        <v>118</v>
      </c>
      <c r="J1" s="31" t="s">
        <v>135</v>
      </c>
      <c r="K1" s="28" t="s">
        <v>129</v>
      </c>
      <c r="L1" s="28" t="s">
        <v>118</v>
      </c>
      <c r="M1" s="28" t="s">
        <v>129</v>
      </c>
      <c r="N1" s="37" t="s">
        <v>136</v>
      </c>
    </row>
    <row r="2" spans="2:15" ht="18.75" x14ac:dyDescent="0.3">
      <c r="B2" s="54" t="s">
        <v>141</v>
      </c>
      <c r="C2" s="55" t="s">
        <v>142</v>
      </c>
      <c r="D2" s="56" t="s">
        <v>9</v>
      </c>
      <c r="E2" s="57">
        <v>14</v>
      </c>
      <c r="F2" s="15">
        <v>15</v>
      </c>
      <c r="G2" s="10">
        <f>E2/F2-1</f>
        <v>-6.6666666666666652E-2</v>
      </c>
      <c r="H2" s="16">
        <v>16.2</v>
      </c>
      <c r="I2" s="10">
        <f>H2/F2-1</f>
        <v>7.9999999999999849E-2</v>
      </c>
      <c r="J2" s="9">
        <v>16.5</v>
      </c>
      <c r="K2" s="13" t="s">
        <v>121</v>
      </c>
      <c r="L2" s="17">
        <f t="shared" ref="L2:L7" si="0">J2/F2-1</f>
        <v>0.10000000000000009</v>
      </c>
      <c r="M2" s="14" t="s">
        <v>125</v>
      </c>
      <c r="N2" s="38">
        <v>18</v>
      </c>
      <c r="O2" s="34"/>
    </row>
    <row r="3" spans="2:15" ht="18.75" x14ac:dyDescent="0.3">
      <c r="B3" s="54" t="s">
        <v>143</v>
      </c>
      <c r="C3" s="58" t="s">
        <v>144</v>
      </c>
      <c r="D3" s="56" t="s">
        <v>9</v>
      </c>
      <c r="E3" s="59">
        <v>16.5</v>
      </c>
      <c r="F3" s="20">
        <v>18</v>
      </c>
      <c r="G3" s="12">
        <f t="shared" ref="G3:G7" si="1">E3/F3-1</f>
        <v>-8.333333333333337E-2</v>
      </c>
      <c r="H3" s="11">
        <v>19.8</v>
      </c>
      <c r="I3" s="12">
        <f t="shared" ref="I3:I66" si="2">H3/F3-1</f>
        <v>0.10000000000000009</v>
      </c>
      <c r="J3" s="11">
        <v>22</v>
      </c>
      <c r="K3" s="18" t="s">
        <v>120</v>
      </c>
      <c r="L3" s="21">
        <f t="shared" si="0"/>
        <v>0.22222222222222232</v>
      </c>
      <c r="M3" s="19" t="s">
        <v>126</v>
      </c>
      <c r="N3" s="38">
        <v>21.45</v>
      </c>
      <c r="O3" s="34"/>
    </row>
    <row r="4" spans="2:15" ht="18.75" x14ac:dyDescent="0.3">
      <c r="B4" s="54" t="s">
        <v>145</v>
      </c>
      <c r="C4" s="55" t="s">
        <v>112</v>
      </c>
      <c r="D4" s="56" t="s">
        <v>9</v>
      </c>
      <c r="E4" s="60">
        <v>42.5</v>
      </c>
      <c r="F4" s="15">
        <v>17</v>
      </c>
      <c r="G4" s="10">
        <f t="shared" si="1"/>
        <v>1.5</v>
      </c>
      <c r="H4" s="16">
        <v>18.7</v>
      </c>
      <c r="I4" s="10">
        <f t="shared" si="2"/>
        <v>9.9999999999999867E-2</v>
      </c>
      <c r="J4" s="9">
        <v>20</v>
      </c>
      <c r="K4" s="13" t="s">
        <v>120</v>
      </c>
      <c r="L4" s="17">
        <f t="shared" si="0"/>
        <v>0.17647058823529416</v>
      </c>
      <c r="M4" s="14" t="s">
        <v>127</v>
      </c>
      <c r="N4" s="38">
        <v>20.399999999999999</v>
      </c>
      <c r="O4" s="34"/>
    </row>
    <row r="5" spans="2:15" ht="18.75" x14ac:dyDescent="0.3">
      <c r="B5" s="54" t="s">
        <v>146</v>
      </c>
      <c r="C5" s="55" t="s">
        <v>55</v>
      </c>
      <c r="D5" s="56" t="s">
        <v>10</v>
      </c>
      <c r="E5" s="60">
        <v>23</v>
      </c>
      <c r="F5" s="15">
        <v>15</v>
      </c>
      <c r="G5" s="10">
        <f t="shared" si="1"/>
        <v>0.53333333333333344</v>
      </c>
      <c r="H5" s="16">
        <v>16</v>
      </c>
      <c r="I5" s="10">
        <f t="shared" si="2"/>
        <v>6.6666666666666652E-2</v>
      </c>
      <c r="J5" s="22">
        <v>16</v>
      </c>
      <c r="K5" s="13"/>
      <c r="L5" s="17">
        <f t="shared" si="0"/>
        <v>6.6666666666666652E-2</v>
      </c>
      <c r="M5" s="14"/>
      <c r="N5" s="38">
        <v>17.45</v>
      </c>
      <c r="O5" s="34"/>
    </row>
    <row r="6" spans="2:15" ht="18.75" x14ac:dyDescent="0.3">
      <c r="B6" s="54" t="s">
        <v>147</v>
      </c>
      <c r="C6" s="61" t="s">
        <v>56</v>
      </c>
      <c r="D6" s="56" t="s">
        <v>10</v>
      </c>
      <c r="E6" s="60">
        <v>29.5</v>
      </c>
      <c r="F6" s="15">
        <v>22</v>
      </c>
      <c r="G6" s="10">
        <f t="shared" si="1"/>
        <v>0.34090909090909083</v>
      </c>
      <c r="H6" s="22">
        <v>24</v>
      </c>
      <c r="I6" s="10">
        <f t="shared" si="2"/>
        <v>9.0909090909090828E-2</v>
      </c>
      <c r="J6" s="22">
        <v>24</v>
      </c>
      <c r="K6" s="13"/>
      <c r="L6" s="17">
        <f t="shared" si="0"/>
        <v>9.0909090909090828E-2</v>
      </c>
      <c r="M6" s="14"/>
      <c r="N6" s="38">
        <v>26.4</v>
      </c>
      <c r="O6" s="34"/>
    </row>
    <row r="7" spans="2:15" ht="18.75" x14ac:dyDescent="0.3">
      <c r="B7" s="54" t="s">
        <v>148</v>
      </c>
      <c r="C7" s="58" t="s">
        <v>149</v>
      </c>
      <c r="D7" s="56" t="s">
        <v>10</v>
      </c>
      <c r="E7" s="60">
        <v>29.5</v>
      </c>
      <c r="F7" s="15">
        <v>25</v>
      </c>
      <c r="G7" s="10">
        <f t="shared" si="1"/>
        <v>0.17999999999999994</v>
      </c>
      <c r="H7" s="22">
        <v>27</v>
      </c>
      <c r="I7" s="10">
        <f t="shared" si="2"/>
        <v>8.0000000000000071E-2</v>
      </c>
      <c r="J7" s="22">
        <v>27</v>
      </c>
      <c r="K7" s="13"/>
      <c r="L7" s="17">
        <f t="shared" si="0"/>
        <v>8.0000000000000071E-2</v>
      </c>
      <c r="M7" s="14"/>
      <c r="N7" s="38">
        <v>29.700000000000003</v>
      </c>
      <c r="O7" s="34"/>
    </row>
    <row r="8" spans="2:15" ht="18.75" x14ac:dyDescent="0.3">
      <c r="B8" s="54" t="s">
        <v>150</v>
      </c>
      <c r="C8" s="55" t="s">
        <v>109</v>
      </c>
      <c r="D8" s="56" t="s">
        <v>10</v>
      </c>
      <c r="E8" s="60">
        <v>22.5</v>
      </c>
      <c r="F8" s="51" t="s">
        <v>115</v>
      </c>
      <c r="G8" s="51"/>
      <c r="H8" s="22">
        <v>30</v>
      </c>
      <c r="I8" s="10"/>
      <c r="J8" s="22">
        <v>30</v>
      </c>
      <c r="K8" s="13"/>
      <c r="L8" s="17"/>
      <c r="M8" s="14"/>
      <c r="N8" s="38">
        <v>32.75</v>
      </c>
      <c r="O8" s="34"/>
    </row>
    <row r="9" spans="2:15" ht="18.75" x14ac:dyDescent="0.3">
      <c r="B9" s="54" t="s">
        <v>151</v>
      </c>
      <c r="C9" s="55" t="s">
        <v>38</v>
      </c>
      <c r="D9" s="56" t="s">
        <v>10</v>
      </c>
      <c r="E9" s="60">
        <v>7.85</v>
      </c>
      <c r="F9" s="20">
        <v>14</v>
      </c>
      <c r="G9" s="12">
        <f>E9/F9-1</f>
        <v>-0.43928571428571428</v>
      </c>
      <c r="H9" s="11">
        <v>15</v>
      </c>
      <c r="I9" s="12">
        <f t="shared" si="2"/>
        <v>7.1428571428571397E-2</v>
      </c>
      <c r="J9" s="11">
        <v>15</v>
      </c>
      <c r="K9" s="18"/>
      <c r="L9" s="21">
        <f>J9/F9-1</f>
        <v>7.1428571428571397E-2</v>
      </c>
      <c r="M9" s="19"/>
      <c r="N9" s="38">
        <v>16</v>
      </c>
      <c r="O9" s="34"/>
    </row>
    <row r="10" spans="2:15" ht="18.75" x14ac:dyDescent="0.3">
      <c r="B10" s="54" t="s">
        <v>152</v>
      </c>
      <c r="C10" s="55" t="s">
        <v>22</v>
      </c>
      <c r="D10" s="56" t="s">
        <v>9</v>
      </c>
      <c r="E10" s="60">
        <v>10.5</v>
      </c>
      <c r="F10" s="52" t="s">
        <v>115</v>
      </c>
      <c r="G10" s="52"/>
      <c r="H10" s="11">
        <v>17</v>
      </c>
      <c r="I10" s="12"/>
      <c r="J10" s="11">
        <v>17</v>
      </c>
      <c r="K10" s="18"/>
      <c r="L10" s="21"/>
      <c r="M10" s="19"/>
      <c r="N10" s="38">
        <v>18.100000000000001</v>
      </c>
      <c r="O10" s="34"/>
    </row>
    <row r="11" spans="2:15" ht="18.75" x14ac:dyDescent="0.3">
      <c r="B11" s="54" t="s">
        <v>153</v>
      </c>
      <c r="C11" s="58" t="s">
        <v>154</v>
      </c>
      <c r="D11" s="56" t="s">
        <v>10</v>
      </c>
      <c r="E11" s="60">
        <v>11</v>
      </c>
      <c r="F11" s="20">
        <v>22</v>
      </c>
      <c r="G11" s="12">
        <f>1-F11/E11</f>
        <v>-1</v>
      </c>
      <c r="H11" s="11">
        <v>22</v>
      </c>
      <c r="I11" s="12">
        <f t="shared" si="2"/>
        <v>0</v>
      </c>
      <c r="J11" s="11">
        <v>22</v>
      </c>
      <c r="K11" s="18"/>
      <c r="L11" s="21">
        <f>J11/F11-1</f>
        <v>0</v>
      </c>
      <c r="M11" s="19"/>
      <c r="N11" s="38">
        <v>23.4</v>
      </c>
      <c r="O11" s="34"/>
    </row>
    <row r="12" spans="2:15" ht="18.75" x14ac:dyDescent="0.3">
      <c r="B12" s="54" t="s">
        <v>155</v>
      </c>
      <c r="C12" s="55" t="s">
        <v>42</v>
      </c>
      <c r="D12" s="56" t="s">
        <v>10</v>
      </c>
      <c r="E12" s="60">
        <v>5</v>
      </c>
      <c r="F12" s="51" t="s">
        <v>115</v>
      </c>
      <c r="G12" s="51"/>
      <c r="H12" s="22">
        <v>44</v>
      </c>
      <c r="I12" s="10"/>
      <c r="J12" s="22">
        <v>44</v>
      </c>
      <c r="K12" s="13"/>
      <c r="L12" s="17"/>
      <c r="M12" s="14"/>
      <c r="N12" s="38">
        <v>47.7</v>
      </c>
      <c r="O12" s="34"/>
    </row>
    <row r="13" spans="2:15" ht="18.75" x14ac:dyDescent="0.3">
      <c r="B13" s="54" t="s">
        <v>156</v>
      </c>
      <c r="C13" s="55" t="s">
        <v>43</v>
      </c>
      <c r="D13" s="56" t="s">
        <v>10</v>
      </c>
      <c r="E13" s="60">
        <v>9.5</v>
      </c>
      <c r="F13" s="51" t="s">
        <v>115</v>
      </c>
      <c r="G13" s="51"/>
      <c r="H13" s="22">
        <v>65</v>
      </c>
      <c r="I13" s="10"/>
      <c r="J13" s="22">
        <v>65</v>
      </c>
      <c r="K13" s="13"/>
      <c r="L13" s="17"/>
      <c r="M13" s="14"/>
      <c r="N13" s="38">
        <v>70.5</v>
      </c>
      <c r="O13" s="34"/>
    </row>
    <row r="14" spans="2:15" ht="15" customHeight="1" x14ac:dyDescent="0.3">
      <c r="B14" s="54" t="s">
        <v>157</v>
      </c>
      <c r="C14" s="55" t="s">
        <v>158</v>
      </c>
      <c r="D14" s="56" t="s">
        <v>10</v>
      </c>
      <c r="E14" s="60">
        <v>7.5</v>
      </c>
      <c r="F14" s="40"/>
      <c r="G14" s="40"/>
      <c r="H14" s="40"/>
      <c r="I14" s="40"/>
      <c r="J14" s="40"/>
      <c r="K14" s="40"/>
      <c r="L14" s="40"/>
      <c r="M14" s="40"/>
      <c r="N14" s="40"/>
      <c r="O14" s="34"/>
    </row>
    <row r="15" spans="2:15" ht="18.75" x14ac:dyDescent="0.3">
      <c r="B15" s="54" t="s">
        <v>159</v>
      </c>
      <c r="C15" s="55" t="s">
        <v>160</v>
      </c>
      <c r="D15" s="56" t="s">
        <v>10</v>
      </c>
      <c r="E15" s="60">
        <v>10</v>
      </c>
      <c r="F15" s="15">
        <v>21</v>
      </c>
      <c r="G15" s="10">
        <f>E15/F15-1</f>
        <v>-0.52380952380952384</v>
      </c>
      <c r="H15" s="16">
        <v>22</v>
      </c>
      <c r="I15" s="10">
        <f t="shared" si="2"/>
        <v>4.7619047619047672E-2</v>
      </c>
      <c r="J15" s="9">
        <v>23</v>
      </c>
      <c r="K15" s="13" t="s">
        <v>121</v>
      </c>
      <c r="L15" s="17">
        <f>J15/F15-1</f>
        <v>9.5238095238095344E-2</v>
      </c>
      <c r="M15" s="14" t="s">
        <v>126</v>
      </c>
      <c r="N15" s="38">
        <v>24.75</v>
      </c>
      <c r="O15" s="34"/>
    </row>
    <row r="16" spans="2:15" ht="18.75" x14ac:dyDescent="0.3">
      <c r="B16" s="54" t="s">
        <v>161</v>
      </c>
      <c r="C16" s="55" t="s">
        <v>83</v>
      </c>
      <c r="D16" s="56" t="s">
        <v>10</v>
      </c>
      <c r="E16" s="60">
        <v>17.5</v>
      </c>
      <c r="F16" s="15">
        <v>34</v>
      </c>
      <c r="G16" s="10">
        <f>E16/F16-1</f>
        <v>-0.48529411764705888</v>
      </c>
      <c r="H16" s="16">
        <v>35</v>
      </c>
      <c r="I16" s="10">
        <f t="shared" si="2"/>
        <v>2.9411764705882248E-2</v>
      </c>
      <c r="J16" s="9">
        <v>37.4</v>
      </c>
      <c r="K16" s="13" t="s">
        <v>121</v>
      </c>
      <c r="L16" s="17">
        <f>J16/F16-1</f>
        <v>9.9999999999999867E-2</v>
      </c>
      <c r="M16" s="14" t="s">
        <v>126</v>
      </c>
      <c r="N16" s="38">
        <v>38</v>
      </c>
      <c r="O16" s="34"/>
    </row>
    <row r="17" spans="2:15" ht="18.75" x14ac:dyDescent="0.3">
      <c r="B17" s="54" t="s">
        <v>162</v>
      </c>
      <c r="C17" s="55" t="s">
        <v>23</v>
      </c>
      <c r="D17" s="56" t="s">
        <v>9</v>
      </c>
      <c r="E17" s="60">
        <v>22</v>
      </c>
      <c r="F17" s="51" t="s">
        <v>115</v>
      </c>
      <c r="G17" s="51"/>
      <c r="H17" s="22">
        <v>12</v>
      </c>
      <c r="I17" s="10"/>
      <c r="J17" s="22">
        <v>12</v>
      </c>
      <c r="K17" s="13"/>
      <c r="L17" s="17"/>
      <c r="M17" s="14"/>
      <c r="N17" s="38">
        <v>13</v>
      </c>
      <c r="O17" s="34"/>
    </row>
    <row r="18" spans="2:15" ht="18.75" x14ac:dyDescent="0.3">
      <c r="B18" s="54" t="s">
        <v>163</v>
      </c>
      <c r="C18" s="55" t="s">
        <v>80</v>
      </c>
      <c r="D18" s="56" t="s">
        <v>10</v>
      </c>
      <c r="E18" s="60">
        <v>4</v>
      </c>
      <c r="F18" s="15">
        <v>18</v>
      </c>
      <c r="G18" s="10">
        <f>E18/F18-1</f>
        <v>-0.77777777777777779</v>
      </c>
      <c r="H18" s="16">
        <v>19.7</v>
      </c>
      <c r="I18" s="10">
        <f t="shared" si="2"/>
        <v>9.4444444444444331E-2</v>
      </c>
      <c r="J18" s="9">
        <v>21</v>
      </c>
      <c r="K18" s="13" t="s">
        <v>121</v>
      </c>
      <c r="L18" s="17">
        <f>J18/F18-1</f>
        <v>0.16666666666666674</v>
      </c>
      <c r="M18" s="14" t="s">
        <v>125</v>
      </c>
      <c r="N18" s="38">
        <v>23</v>
      </c>
    </row>
    <row r="19" spans="2:15" ht="18.75" x14ac:dyDescent="0.3">
      <c r="B19" s="54" t="s">
        <v>164</v>
      </c>
      <c r="C19" s="55" t="s">
        <v>165</v>
      </c>
      <c r="D19" s="56" t="s">
        <v>29</v>
      </c>
      <c r="E19" s="60">
        <v>39.5</v>
      </c>
      <c r="F19" s="15">
        <v>11</v>
      </c>
      <c r="G19" s="10">
        <f>E19/F19-1</f>
        <v>2.5909090909090908</v>
      </c>
      <c r="H19" s="16">
        <v>12</v>
      </c>
      <c r="I19" s="10">
        <f t="shared" si="2"/>
        <v>9.0909090909090828E-2</v>
      </c>
      <c r="J19" s="9">
        <v>13</v>
      </c>
      <c r="K19" s="13" t="s">
        <v>121</v>
      </c>
      <c r="L19" s="17">
        <f>J19/F19-1</f>
        <v>0.18181818181818188</v>
      </c>
      <c r="M19" s="14" t="s">
        <v>126</v>
      </c>
      <c r="N19" s="38">
        <v>13</v>
      </c>
    </row>
    <row r="20" spans="2:15" ht="18.75" x14ac:dyDescent="0.3">
      <c r="B20" s="54" t="s">
        <v>166</v>
      </c>
      <c r="C20" s="55" t="s">
        <v>167</v>
      </c>
      <c r="D20" s="56" t="s">
        <v>29</v>
      </c>
      <c r="E20" s="60">
        <v>39.5</v>
      </c>
      <c r="F20" s="15">
        <v>14</v>
      </c>
      <c r="G20" s="10">
        <f>E20/F20-1</f>
        <v>1.8214285714285716</v>
      </c>
      <c r="H20" s="16">
        <v>15</v>
      </c>
      <c r="I20" s="10">
        <f t="shared" si="2"/>
        <v>7.1428571428571397E-2</v>
      </c>
      <c r="J20" s="9">
        <v>15.5</v>
      </c>
      <c r="K20" s="13" t="s">
        <v>121</v>
      </c>
      <c r="L20" s="17">
        <f>J20/F20-1</f>
        <v>0.10714285714285721</v>
      </c>
      <c r="M20" s="14" t="s">
        <v>126</v>
      </c>
      <c r="N20" s="38">
        <v>16.25</v>
      </c>
    </row>
    <row r="21" spans="2:15" ht="18.75" x14ac:dyDescent="0.3">
      <c r="B21" s="54" t="s">
        <v>168</v>
      </c>
      <c r="C21" s="55" t="s">
        <v>35</v>
      </c>
      <c r="D21" s="56" t="s">
        <v>29</v>
      </c>
      <c r="E21" s="60">
        <v>95</v>
      </c>
      <c r="F21" s="20">
        <v>36</v>
      </c>
      <c r="G21" s="12">
        <f>E21/F21-1</f>
        <v>1.6388888888888888</v>
      </c>
      <c r="H21" s="11">
        <v>38.5</v>
      </c>
      <c r="I21" s="12">
        <f t="shared" si="2"/>
        <v>6.944444444444442E-2</v>
      </c>
      <c r="J21" s="11">
        <v>38.5</v>
      </c>
      <c r="K21" s="18"/>
      <c r="L21" s="21">
        <f>J21/F21-1</f>
        <v>6.944444444444442E-2</v>
      </c>
      <c r="M21" s="19"/>
      <c r="N21" s="38">
        <v>40.9</v>
      </c>
    </row>
    <row r="22" spans="2:15" ht="18.75" x14ac:dyDescent="0.3">
      <c r="B22" s="54" t="s">
        <v>169</v>
      </c>
      <c r="C22" s="58" t="s">
        <v>170</v>
      </c>
      <c r="D22" s="56" t="s">
        <v>29</v>
      </c>
      <c r="E22" s="60">
        <v>32.5</v>
      </c>
      <c r="F22" s="20">
        <v>38</v>
      </c>
      <c r="G22" s="12">
        <f>E22/F22-1</f>
        <v>-0.14473684210526316</v>
      </c>
      <c r="H22" s="11">
        <v>40.5</v>
      </c>
      <c r="I22" s="12">
        <f t="shared" si="2"/>
        <v>6.578947368421062E-2</v>
      </c>
      <c r="J22" s="11">
        <v>40.5</v>
      </c>
      <c r="K22" s="18"/>
      <c r="L22" s="21">
        <f>J22/F22-1</f>
        <v>6.578947368421062E-2</v>
      </c>
      <c r="M22" s="19"/>
      <c r="N22" s="38">
        <v>42.9</v>
      </c>
    </row>
    <row r="23" spans="2:15" ht="18.75" x14ac:dyDescent="0.3">
      <c r="B23" s="54" t="s">
        <v>171</v>
      </c>
      <c r="C23" s="55" t="s">
        <v>172</v>
      </c>
      <c r="D23" s="56" t="s">
        <v>29</v>
      </c>
      <c r="E23" s="60">
        <v>39.5</v>
      </c>
      <c r="F23" s="51" t="s">
        <v>115</v>
      </c>
      <c r="G23" s="51"/>
      <c r="H23" s="22">
        <v>33</v>
      </c>
      <c r="I23" s="10"/>
      <c r="J23" s="22">
        <v>33</v>
      </c>
      <c r="K23" s="13"/>
      <c r="L23" s="17"/>
      <c r="M23" s="14"/>
      <c r="N23" s="38">
        <v>36</v>
      </c>
    </row>
    <row r="24" spans="2:15" ht="18.75" x14ac:dyDescent="0.3">
      <c r="B24" s="54" t="s">
        <v>173</v>
      </c>
      <c r="C24" s="55" t="s">
        <v>174</v>
      </c>
      <c r="D24" s="56" t="s">
        <v>9</v>
      </c>
      <c r="E24" s="60">
        <v>4.5</v>
      </c>
      <c r="F24" s="51" t="s">
        <v>115</v>
      </c>
      <c r="G24" s="51"/>
      <c r="H24" s="22">
        <v>37</v>
      </c>
      <c r="I24" s="10"/>
      <c r="J24" s="22">
        <v>37</v>
      </c>
      <c r="K24" s="13"/>
      <c r="L24" s="17"/>
      <c r="M24" s="14"/>
      <c r="N24" s="38">
        <v>40.35</v>
      </c>
    </row>
    <row r="25" spans="2:15" ht="18.75" x14ac:dyDescent="0.3">
      <c r="B25" s="54" t="s">
        <v>175</v>
      </c>
      <c r="C25" s="58" t="s">
        <v>176</v>
      </c>
      <c r="D25" s="56" t="s">
        <v>10</v>
      </c>
      <c r="E25" s="60">
        <v>14</v>
      </c>
      <c r="F25" s="20">
        <v>27</v>
      </c>
      <c r="G25" s="12">
        <f>E25/F25-1</f>
        <v>-0.48148148148148151</v>
      </c>
      <c r="H25" s="11">
        <v>27</v>
      </c>
      <c r="I25" s="12">
        <f t="shared" si="2"/>
        <v>0</v>
      </c>
      <c r="J25" s="11">
        <v>27</v>
      </c>
      <c r="K25" s="18"/>
      <c r="L25" s="21">
        <f>J25/F25-1</f>
        <v>0</v>
      </c>
      <c r="M25" s="19"/>
      <c r="N25" s="38">
        <v>28.7</v>
      </c>
    </row>
    <row r="26" spans="2:15" ht="18.75" x14ac:dyDescent="0.3">
      <c r="B26" s="54" t="s">
        <v>177</v>
      </c>
      <c r="C26" s="58" t="s">
        <v>178</v>
      </c>
      <c r="D26" s="56" t="s">
        <v>10</v>
      </c>
      <c r="E26" s="60">
        <v>12.5</v>
      </c>
      <c r="F26" s="20">
        <v>11</v>
      </c>
      <c r="G26" s="12">
        <f>E26/F26-1</f>
        <v>0.13636363636363646</v>
      </c>
      <c r="H26" s="11">
        <v>12</v>
      </c>
      <c r="I26" s="12">
        <f t="shared" si="2"/>
        <v>9.0909090909090828E-2</v>
      </c>
      <c r="J26" s="11">
        <v>12.1</v>
      </c>
      <c r="K26" s="18" t="s">
        <v>121</v>
      </c>
      <c r="L26" s="21">
        <f>J26/F26-1</f>
        <v>9.9999999999999867E-2</v>
      </c>
      <c r="M26" s="19" t="s">
        <v>125</v>
      </c>
      <c r="N26" s="38">
        <v>13</v>
      </c>
    </row>
    <row r="27" spans="2:15" ht="15" customHeight="1" x14ac:dyDescent="0.3">
      <c r="B27" s="54" t="s">
        <v>179</v>
      </c>
      <c r="C27" s="58" t="s">
        <v>180</v>
      </c>
      <c r="D27" s="56" t="s">
        <v>10</v>
      </c>
      <c r="E27" s="60">
        <v>15</v>
      </c>
      <c r="F27" s="40"/>
      <c r="G27" s="40"/>
      <c r="H27" s="40"/>
      <c r="I27" s="40"/>
      <c r="J27" s="40"/>
      <c r="K27" s="40"/>
      <c r="L27" s="40"/>
      <c r="M27" s="40"/>
      <c r="N27" s="40"/>
    </row>
    <row r="28" spans="2:15" ht="18.75" x14ac:dyDescent="0.3">
      <c r="B28" s="54" t="s">
        <v>181</v>
      </c>
      <c r="C28" s="58" t="s">
        <v>182</v>
      </c>
      <c r="D28" s="56" t="s">
        <v>10</v>
      </c>
      <c r="E28" s="60">
        <v>6.15</v>
      </c>
      <c r="F28" s="51" t="s">
        <v>115</v>
      </c>
      <c r="G28" s="51"/>
      <c r="H28" s="16">
        <v>20</v>
      </c>
      <c r="I28" s="10"/>
      <c r="J28" s="9">
        <v>22</v>
      </c>
      <c r="K28" s="13" t="s">
        <v>121</v>
      </c>
      <c r="L28" s="17"/>
      <c r="M28" s="14" t="s">
        <v>126</v>
      </c>
      <c r="N28" s="38">
        <v>21.5</v>
      </c>
    </row>
    <row r="29" spans="2:15" ht="18.75" x14ac:dyDescent="0.3">
      <c r="B29" s="54" t="s">
        <v>183</v>
      </c>
      <c r="C29" s="58" t="s">
        <v>184</v>
      </c>
      <c r="D29" s="56" t="s">
        <v>10</v>
      </c>
      <c r="E29" s="60">
        <v>5</v>
      </c>
      <c r="F29" s="51" t="s">
        <v>115</v>
      </c>
      <c r="G29" s="51"/>
      <c r="H29" s="22">
        <v>14</v>
      </c>
      <c r="I29" s="10"/>
      <c r="J29" s="22">
        <v>14</v>
      </c>
      <c r="K29" s="13"/>
      <c r="L29" s="17"/>
      <c r="M29" s="14"/>
      <c r="N29" s="38">
        <v>15.2</v>
      </c>
    </row>
    <row r="30" spans="2:15" ht="18.75" x14ac:dyDescent="0.3">
      <c r="B30" s="54" t="s">
        <v>185</v>
      </c>
      <c r="C30" s="55" t="s">
        <v>24</v>
      </c>
      <c r="D30" s="56" t="s">
        <v>10</v>
      </c>
      <c r="E30" s="60">
        <v>18.5</v>
      </c>
      <c r="F30" s="52" t="s">
        <v>115</v>
      </c>
      <c r="G30" s="52"/>
      <c r="H30" s="11">
        <v>17</v>
      </c>
      <c r="I30" s="12"/>
      <c r="J30" s="11">
        <v>17</v>
      </c>
      <c r="K30" s="18"/>
      <c r="L30" s="21"/>
      <c r="M30" s="19"/>
      <c r="N30" s="38">
        <v>19</v>
      </c>
    </row>
    <row r="31" spans="2:15" ht="18.75" x14ac:dyDescent="0.3">
      <c r="B31" s="54" t="s">
        <v>186</v>
      </c>
      <c r="C31" s="55" t="s">
        <v>92</v>
      </c>
      <c r="D31" s="56" t="s">
        <v>29</v>
      </c>
      <c r="E31" s="60">
        <v>130</v>
      </c>
      <c r="F31" s="15">
        <v>20</v>
      </c>
      <c r="G31" s="10">
        <f>E31/F31-1</f>
        <v>5.5</v>
      </c>
      <c r="H31" s="16">
        <v>20</v>
      </c>
      <c r="I31" s="10">
        <f t="shared" si="2"/>
        <v>0</v>
      </c>
      <c r="J31" s="9">
        <v>22</v>
      </c>
      <c r="K31" s="13" t="s">
        <v>121</v>
      </c>
      <c r="L31" s="17">
        <f>J31/F31-1</f>
        <v>0.10000000000000009</v>
      </c>
      <c r="M31" s="14" t="s">
        <v>126</v>
      </c>
      <c r="N31" s="38">
        <v>22</v>
      </c>
    </row>
    <row r="32" spans="2:15" ht="18.75" x14ac:dyDescent="0.3">
      <c r="B32" s="54" t="s">
        <v>187</v>
      </c>
      <c r="C32" s="55" t="s">
        <v>91</v>
      </c>
      <c r="D32" s="56" t="s">
        <v>29</v>
      </c>
      <c r="E32" s="60">
        <v>125</v>
      </c>
      <c r="F32" s="15">
        <v>4.5</v>
      </c>
      <c r="G32" s="10">
        <f>E32/F32-1</f>
        <v>26.777777777777779</v>
      </c>
      <c r="H32" s="16">
        <v>4.5</v>
      </c>
      <c r="I32" s="10">
        <f t="shared" si="2"/>
        <v>0</v>
      </c>
      <c r="J32" s="9">
        <v>4.95</v>
      </c>
      <c r="K32" s="13" t="s">
        <v>121</v>
      </c>
      <c r="L32" s="17">
        <f>J32/F32-1</f>
        <v>0.10000000000000009</v>
      </c>
      <c r="M32" s="14" t="s">
        <v>126</v>
      </c>
      <c r="N32" s="38">
        <v>5</v>
      </c>
    </row>
    <row r="33" spans="2:14" ht="18.75" x14ac:dyDescent="0.3">
      <c r="B33" s="54" t="s">
        <v>188</v>
      </c>
      <c r="C33" s="55" t="s">
        <v>90</v>
      </c>
      <c r="D33" s="56" t="s">
        <v>29</v>
      </c>
      <c r="E33" s="60">
        <v>351</v>
      </c>
      <c r="F33" s="20">
        <v>25</v>
      </c>
      <c r="G33" s="12">
        <f>E33/F33-1</f>
        <v>13.04</v>
      </c>
      <c r="H33" s="11">
        <v>25</v>
      </c>
      <c r="I33" s="12">
        <f t="shared" si="2"/>
        <v>0</v>
      </c>
      <c r="J33" s="11">
        <v>25</v>
      </c>
      <c r="K33" s="18"/>
      <c r="L33" s="21">
        <f>J33/F33-1</f>
        <v>0</v>
      </c>
      <c r="M33" s="19"/>
      <c r="N33" s="38">
        <v>26.5</v>
      </c>
    </row>
    <row r="34" spans="2:14" ht="15" customHeight="1" x14ac:dyDescent="0.3">
      <c r="B34" s="54" t="s">
        <v>189</v>
      </c>
      <c r="C34" s="55" t="s">
        <v>89</v>
      </c>
      <c r="D34" s="56" t="s">
        <v>29</v>
      </c>
      <c r="E34" s="62">
        <v>200</v>
      </c>
      <c r="F34" s="40"/>
      <c r="G34" s="40"/>
      <c r="H34" s="40"/>
      <c r="I34" s="40"/>
      <c r="J34" s="40"/>
      <c r="K34" s="40"/>
      <c r="L34" s="40"/>
      <c r="M34" s="40"/>
      <c r="N34" s="40"/>
    </row>
    <row r="35" spans="2:14" ht="18.75" x14ac:dyDescent="0.3">
      <c r="B35" s="54" t="s">
        <v>190</v>
      </c>
      <c r="C35" s="55" t="s">
        <v>191</v>
      </c>
      <c r="D35" s="60" t="s">
        <v>29</v>
      </c>
      <c r="E35" s="62">
        <v>22.5</v>
      </c>
      <c r="F35" s="20">
        <v>7.5</v>
      </c>
      <c r="G35" s="12">
        <f>E35/F35-1</f>
        <v>2</v>
      </c>
      <c r="H35" s="11">
        <v>8</v>
      </c>
      <c r="I35" s="12">
        <f t="shared" si="2"/>
        <v>6.6666666666666652E-2</v>
      </c>
      <c r="J35" s="11">
        <v>8.25</v>
      </c>
      <c r="K35" s="18" t="s">
        <v>121</v>
      </c>
      <c r="L35" s="21">
        <f>J35/F35-1</f>
        <v>0.10000000000000009</v>
      </c>
      <c r="M35" s="19" t="s">
        <v>126</v>
      </c>
      <c r="N35" s="38">
        <v>9</v>
      </c>
    </row>
    <row r="36" spans="2:14" ht="18.75" x14ac:dyDescent="0.3">
      <c r="B36" s="54" t="s">
        <v>192</v>
      </c>
      <c r="C36" s="58" t="s">
        <v>193</v>
      </c>
      <c r="D36" s="56" t="s">
        <v>194</v>
      </c>
      <c r="E36" s="62">
        <v>90</v>
      </c>
      <c r="F36" s="15">
        <v>17</v>
      </c>
      <c r="G36" s="10">
        <f>E36/F36-1</f>
        <v>4.2941176470588234</v>
      </c>
      <c r="H36" s="22">
        <v>18</v>
      </c>
      <c r="I36" s="10">
        <f t="shared" si="2"/>
        <v>5.8823529411764719E-2</v>
      </c>
      <c r="J36" s="22">
        <v>18</v>
      </c>
      <c r="K36" s="13"/>
      <c r="L36" s="17">
        <f>J36/F36-1</f>
        <v>5.8823529411764719E-2</v>
      </c>
      <c r="M36" s="14"/>
      <c r="N36" s="38">
        <v>19.8</v>
      </c>
    </row>
    <row r="37" spans="2:14" ht="15" customHeight="1" x14ac:dyDescent="0.3">
      <c r="B37" s="54" t="s">
        <v>195</v>
      </c>
      <c r="C37" s="58" t="s">
        <v>196</v>
      </c>
      <c r="D37" s="60" t="s">
        <v>60</v>
      </c>
      <c r="E37" s="62">
        <v>22.5</v>
      </c>
      <c r="F37" s="40"/>
      <c r="G37" s="40"/>
      <c r="H37" s="40"/>
      <c r="I37" s="40"/>
      <c r="J37" s="40"/>
      <c r="K37" s="40"/>
      <c r="L37" s="40"/>
      <c r="M37" s="40"/>
      <c r="N37" s="40"/>
    </row>
    <row r="38" spans="2:14" ht="18.75" x14ac:dyDescent="0.3">
      <c r="B38" s="54" t="s">
        <v>197</v>
      </c>
      <c r="C38" s="55" t="s">
        <v>198</v>
      </c>
      <c r="D38" s="56" t="s">
        <v>60</v>
      </c>
      <c r="E38" s="62">
        <v>36.5</v>
      </c>
      <c r="F38" s="15">
        <v>35</v>
      </c>
      <c r="G38" s="10">
        <f>E38/F38-1</f>
        <v>4.2857142857142927E-2</v>
      </c>
      <c r="H38" s="22">
        <v>35</v>
      </c>
      <c r="I38" s="10">
        <f t="shared" si="2"/>
        <v>0</v>
      </c>
      <c r="J38" s="22">
        <v>35</v>
      </c>
      <c r="K38" s="13"/>
      <c r="L38" s="17">
        <f>J38/F38-1</f>
        <v>0</v>
      </c>
      <c r="M38" s="14"/>
      <c r="N38" s="38">
        <v>38.85</v>
      </c>
    </row>
    <row r="39" spans="2:14" ht="18.75" x14ac:dyDescent="0.3">
      <c r="B39" s="54" t="s">
        <v>199</v>
      </c>
      <c r="C39" s="55" t="s">
        <v>200</v>
      </c>
      <c r="D39" s="56" t="s">
        <v>29</v>
      </c>
      <c r="E39" s="62">
        <v>16.5</v>
      </c>
      <c r="F39" s="15">
        <v>37</v>
      </c>
      <c r="G39" s="10">
        <f>E39/F39-1</f>
        <v>-0.55405405405405406</v>
      </c>
      <c r="H39" s="22">
        <v>37</v>
      </c>
      <c r="I39" s="10">
        <f t="shared" si="2"/>
        <v>0</v>
      </c>
      <c r="J39" s="22">
        <v>37</v>
      </c>
      <c r="K39" s="13"/>
      <c r="L39" s="17">
        <f>J39/F39-1</f>
        <v>0</v>
      </c>
      <c r="M39" s="14"/>
      <c r="N39" s="38">
        <v>41.07</v>
      </c>
    </row>
    <row r="40" spans="2:14" ht="18.75" x14ac:dyDescent="0.3">
      <c r="B40" s="54" t="s">
        <v>201</v>
      </c>
      <c r="C40" s="55" t="s">
        <v>202</v>
      </c>
      <c r="D40" s="56" t="s">
        <v>29</v>
      </c>
      <c r="E40" s="62">
        <v>26.5</v>
      </c>
      <c r="F40" s="20">
        <v>50</v>
      </c>
      <c r="G40" s="12">
        <f>E40/F40-1</f>
        <v>-0.47</v>
      </c>
      <c r="H40" s="11">
        <v>50</v>
      </c>
      <c r="I40" s="12">
        <f t="shared" si="2"/>
        <v>0</v>
      </c>
      <c r="J40" s="11">
        <v>50</v>
      </c>
      <c r="K40" s="18"/>
      <c r="L40" s="21">
        <f>J40/F40-1</f>
        <v>0</v>
      </c>
      <c r="M40" s="19"/>
      <c r="N40" s="38">
        <v>55</v>
      </c>
    </row>
    <row r="41" spans="2:14" ht="18.75" x14ac:dyDescent="0.3">
      <c r="B41" s="54" t="s">
        <v>203</v>
      </c>
      <c r="C41" s="55" t="s">
        <v>204</v>
      </c>
      <c r="D41" s="56" t="s">
        <v>29</v>
      </c>
      <c r="E41" s="62">
        <v>22.5</v>
      </c>
      <c r="F41" s="20">
        <v>50</v>
      </c>
      <c r="G41" s="12">
        <f>E41/F41-1</f>
        <v>-0.55000000000000004</v>
      </c>
      <c r="H41" s="11">
        <v>55</v>
      </c>
      <c r="I41" s="12">
        <f t="shared" si="2"/>
        <v>0.10000000000000009</v>
      </c>
      <c r="J41" s="11">
        <v>55</v>
      </c>
      <c r="K41" s="18"/>
      <c r="L41" s="21">
        <f>J41/F41-1</f>
        <v>0.10000000000000009</v>
      </c>
      <c r="M41" s="19"/>
      <c r="N41" s="38">
        <v>60.5</v>
      </c>
    </row>
    <row r="42" spans="2:14" ht="18.75" x14ac:dyDescent="0.3">
      <c r="B42" s="54" t="s">
        <v>205</v>
      </c>
      <c r="C42" s="55" t="s">
        <v>206</v>
      </c>
      <c r="D42" s="56" t="s">
        <v>29</v>
      </c>
      <c r="E42" s="62">
        <v>26.5</v>
      </c>
      <c r="F42" s="52" t="s">
        <v>115</v>
      </c>
      <c r="G42" s="52"/>
      <c r="H42" s="11">
        <v>55</v>
      </c>
      <c r="I42" s="12"/>
      <c r="J42" s="11">
        <v>55</v>
      </c>
      <c r="K42" s="18"/>
      <c r="L42" s="21"/>
      <c r="M42" s="19"/>
      <c r="N42" s="38">
        <v>60.5</v>
      </c>
    </row>
    <row r="43" spans="2:14" ht="18.75" x14ac:dyDescent="0.3">
      <c r="B43" s="54" t="s">
        <v>207</v>
      </c>
      <c r="C43" s="55" t="s">
        <v>208</v>
      </c>
      <c r="D43" s="60" t="s">
        <v>194</v>
      </c>
      <c r="E43" s="62">
        <v>385</v>
      </c>
      <c r="F43" s="52" t="s">
        <v>115</v>
      </c>
      <c r="G43" s="52"/>
      <c r="H43" s="11">
        <v>60</v>
      </c>
      <c r="I43" s="12"/>
      <c r="J43" s="11">
        <v>60</v>
      </c>
      <c r="K43" s="18"/>
      <c r="L43" s="21"/>
      <c r="M43" s="19"/>
      <c r="N43" s="38">
        <v>66</v>
      </c>
    </row>
    <row r="44" spans="2:14" ht="18.75" x14ac:dyDescent="0.3">
      <c r="B44" s="54" t="s">
        <v>209</v>
      </c>
      <c r="C44" s="55" t="s">
        <v>210</v>
      </c>
      <c r="D44" s="56" t="s">
        <v>194</v>
      </c>
      <c r="E44" s="62">
        <v>385</v>
      </c>
      <c r="F44" s="20">
        <v>53</v>
      </c>
      <c r="G44" s="12">
        <f>E44/F44-1</f>
        <v>6.2641509433962268</v>
      </c>
      <c r="H44" s="11">
        <v>60</v>
      </c>
      <c r="I44" s="12">
        <f t="shared" si="2"/>
        <v>0.13207547169811318</v>
      </c>
      <c r="J44" s="11">
        <v>58.3</v>
      </c>
      <c r="K44" s="18" t="s">
        <v>121</v>
      </c>
      <c r="L44" s="21">
        <f>J44/F44-1</f>
        <v>9.9999999999999867E-2</v>
      </c>
      <c r="M44" s="19" t="s">
        <v>125</v>
      </c>
      <c r="N44" s="38">
        <v>64.150000000000006</v>
      </c>
    </row>
    <row r="45" spans="2:14" ht="18.75" x14ac:dyDescent="0.3">
      <c r="B45" s="54" t="s">
        <v>211</v>
      </c>
      <c r="C45" s="55" t="s">
        <v>212</v>
      </c>
      <c r="D45" s="56" t="s">
        <v>194</v>
      </c>
      <c r="E45" s="62">
        <v>195</v>
      </c>
      <c r="F45" s="15">
        <v>55</v>
      </c>
      <c r="G45" s="10">
        <f>E45/F45-1</f>
        <v>2.5454545454545454</v>
      </c>
      <c r="H45" s="16">
        <v>60</v>
      </c>
      <c r="I45" s="10">
        <f t="shared" si="2"/>
        <v>9.0909090909090828E-2</v>
      </c>
      <c r="J45" s="9">
        <v>60.5</v>
      </c>
      <c r="K45" s="13" t="s">
        <v>121</v>
      </c>
      <c r="L45" s="17">
        <f>J45/F45-1</f>
        <v>0.10000000000000009</v>
      </c>
      <c r="M45" s="14" t="s">
        <v>125</v>
      </c>
      <c r="N45" s="38">
        <v>67.155000000000001</v>
      </c>
    </row>
    <row r="46" spans="2:14" ht="18.75" x14ac:dyDescent="0.3">
      <c r="B46" s="54" t="s">
        <v>213</v>
      </c>
      <c r="C46" s="55" t="s">
        <v>76</v>
      </c>
      <c r="D46" s="56" t="s">
        <v>77</v>
      </c>
      <c r="E46" s="62">
        <v>65</v>
      </c>
      <c r="F46" s="20">
        <v>40</v>
      </c>
      <c r="G46" s="12">
        <f>E46/F46-1</f>
        <v>0.625</v>
      </c>
      <c r="H46" s="11">
        <v>45</v>
      </c>
      <c r="I46" s="12">
        <f t="shared" si="2"/>
        <v>0.125</v>
      </c>
      <c r="J46" s="11">
        <v>45</v>
      </c>
      <c r="K46" s="18"/>
      <c r="L46" s="21">
        <f>J46/F46-1</f>
        <v>0.125</v>
      </c>
      <c r="M46" s="19"/>
      <c r="N46" s="38">
        <v>48</v>
      </c>
    </row>
    <row r="47" spans="2:14" ht="18.75" x14ac:dyDescent="0.3">
      <c r="B47" s="54" t="s">
        <v>214</v>
      </c>
      <c r="C47" s="55" t="s">
        <v>15</v>
      </c>
      <c r="D47" s="56" t="s">
        <v>10</v>
      </c>
      <c r="E47" s="62">
        <v>19</v>
      </c>
      <c r="F47" s="15">
        <v>50</v>
      </c>
      <c r="G47" s="10">
        <f>E47/F47-1</f>
        <v>-0.62</v>
      </c>
      <c r="H47" s="23">
        <v>55</v>
      </c>
      <c r="I47" s="10">
        <f t="shared" si="2"/>
        <v>0.10000000000000009</v>
      </c>
      <c r="J47" s="24">
        <v>55</v>
      </c>
      <c r="K47" s="13" t="s">
        <v>121</v>
      </c>
      <c r="L47" s="17">
        <f>J47/F47-1</f>
        <v>0.10000000000000009</v>
      </c>
      <c r="M47" s="14" t="s">
        <v>125</v>
      </c>
      <c r="N47" s="38">
        <v>61.050000000000004</v>
      </c>
    </row>
    <row r="48" spans="2:14" ht="18.75" x14ac:dyDescent="0.3">
      <c r="B48" s="54" t="s">
        <v>215</v>
      </c>
      <c r="C48" s="58" t="s">
        <v>216</v>
      </c>
      <c r="D48" s="56" t="s">
        <v>10</v>
      </c>
      <c r="E48" s="62">
        <v>22</v>
      </c>
      <c r="F48" s="20">
        <v>40</v>
      </c>
      <c r="G48" s="12">
        <f>E48/F48-1</f>
        <v>-0.44999999999999996</v>
      </c>
      <c r="H48" s="26">
        <v>50</v>
      </c>
      <c r="I48" s="12">
        <f t="shared" si="2"/>
        <v>0.25</v>
      </c>
      <c r="J48" s="26">
        <v>50</v>
      </c>
      <c r="K48" s="18"/>
      <c r="L48" s="21">
        <f>J48/F48-1</f>
        <v>0.25</v>
      </c>
      <c r="M48" s="19"/>
      <c r="N48" s="38">
        <v>55</v>
      </c>
    </row>
    <row r="49" spans="2:14" ht="18.75" x14ac:dyDescent="0.3">
      <c r="B49" s="54" t="s">
        <v>217</v>
      </c>
      <c r="C49" s="55" t="s">
        <v>21</v>
      </c>
      <c r="D49" s="56" t="s">
        <v>10</v>
      </c>
      <c r="E49" s="62">
        <v>22.5</v>
      </c>
      <c r="F49" s="51" t="s">
        <v>115</v>
      </c>
      <c r="G49" s="51"/>
      <c r="H49" s="25">
        <v>45</v>
      </c>
      <c r="I49" s="10"/>
      <c r="J49" s="25">
        <v>45</v>
      </c>
      <c r="K49" s="13"/>
      <c r="L49" s="17"/>
      <c r="M49" s="14"/>
      <c r="N49" s="38">
        <v>49.95</v>
      </c>
    </row>
    <row r="50" spans="2:14" ht="18.75" x14ac:dyDescent="0.3">
      <c r="B50" s="54" t="s">
        <v>218</v>
      </c>
      <c r="C50" s="55" t="s">
        <v>219</v>
      </c>
      <c r="D50" s="56" t="s">
        <v>10</v>
      </c>
      <c r="E50" s="62">
        <v>16.5</v>
      </c>
      <c r="F50" s="20">
        <v>30</v>
      </c>
      <c r="G50" s="12">
        <f>E50/F50-1</f>
        <v>-0.44999999999999996</v>
      </c>
      <c r="H50" s="26">
        <v>38.5</v>
      </c>
      <c r="I50" s="12">
        <f t="shared" si="2"/>
        <v>0.28333333333333344</v>
      </c>
      <c r="J50" s="26">
        <v>38.5</v>
      </c>
      <c r="K50" s="18" t="s">
        <v>121</v>
      </c>
      <c r="L50" s="21">
        <f>J50/F50-1</f>
        <v>0.28333333333333344</v>
      </c>
      <c r="M50" s="19" t="s">
        <v>125</v>
      </c>
      <c r="N50" s="38">
        <v>42.5</v>
      </c>
    </row>
    <row r="51" spans="2:14" ht="18.75" x14ac:dyDescent="0.3">
      <c r="B51" s="54" t="s">
        <v>220</v>
      </c>
      <c r="C51" s="55" t="s">
        <v>16</v>
      </c>
      <c r="D51" s="56" t="s">
        <v>10</v>
      </c>
      <c r="E51" s="62">
        <v>23.5</v>
      </c>
      <c r="F51" s="15">
        <v>190</v>
      </c>
      <c r="G51" s="10">
        <f>E51/F51-1</f>
        <v>-0.87631578947368416</v>
      </c>
      <c r="H51" s="25">
        <v>190</v>
      </c>
      <c r="I51" s="10">
        <f t="shared" si="2"/>
        <v>0</v>
      </c>
      <c r="J51" s="25">
        <v>190</v>
      </c>
      <c r="K51" s="13"/>
      <c r="L51" s="17">
        <f>J51/F51-1</f>
        <v>0</v>
      </c>
      <c r="M51" s="14"/>
      <c r="N51" s="38">
        <v>209.00000000000003</v>
      </c>
    </row>
    <row r="52" spans="2:14" ht="18.75" x14ac:dyDescent="0.3">
      <c r="B52" s="54" t="s">
        <v>221</v>
      </c>
      <c r="C52" s="55" t="s">
        <v>13</v>
      </c>
      <c r="D52" s="56" t="s">
        <v>10</v>
      </c>
      <c r="E52" s="62">
        <v>22.5</v>
      </c>
      <c r="F52" s="15">
        <v>280</v>
      </c>
      <c r="G52" s="10">
        <f>E52/F52-1</f>
        <v>-0.9196428571428571</v>
      </c>
      <c r="H52" s="22">
        <v>280</v>
      </c>
      <c r="I52" s="10">
        <f t="shared" si="2"/>
        <v>0</v>
      </c>
      <c r="J52" s="22">
        <v>280</v>
      </c>
      <c r="K52" s="13"/>
      <c r="L52" s="17">
        <f>J52/F52-1</f>
        <v>0</v>
      </c>
      <c r="M52" s="14"/>
      <c r="N52" s="38">
        <v>308</v>
      </c>
    </row>
    <row r="53" spans="2:14" ht="18.75" x14ac:dyDescent="0.3">
      <c r="B53" s="54" t="s">
        <v>222</v>
      </c>
      <c r="C53" s="55" t="s">
        <v>223</v>
      </c>
      <c r="D53" s="56" t="s">
        <v>10</v>
      </c>
      <c r="E53" s="62">
        <v>33</v>
      </c>
      <c r="F53" s="15">
        <v>110</v>
      </c>
      <c r="G53" s="10">
        <f>E53/F53-1</f>
        <v>-0.7</v>
      </c>
      <c r="H53" s="16">
        <v>120</v>
      </c>
      <c r="I53" s="10">
        <f t="shared" si="2"/>
        <v>9.0909090909090828E-2</v>
      </c>
      <c r="J53" s="9">
        <v>145</v>
      </c>
      <c r="K53" s="13" t="s">
        <v>122</v>
      </c>
      <c r="L53" s="17">
        <f>J53/F53-1</f>
        <v>0.31818181818181812</v>
      </c>
      <c r="M53" s="14" t="s">
        <v>126</v>
      </c>
      <c r="N53" s="38">
        <v>137.5</v>
      </c>
    </row>
    <row r="54" spans="2:14" ht="18.75" x14ac:dyDescent="0.3">
      <c r="B54" s="54" t="s">
        <v>224</v>
      </c>
      <c r="C54" s="55" t="s">
        <v>17</v>
      </c>
      <c r="D54" s="56" t="s">
        <v>9</v>
      </c>
      <c r="E54" s="62">
        <v>16.5</v>
      </c>
      <c r="F54" s="15">
        <v>125</v>
      </c>
      <c r="G54" s="10">
        <f>E54/F54-1</f>
        <v>-0.86799999999999999</v>
      </c>
      <c r="H54" s="16">
        <v>135</v>
      </c>
      <c r="I54" s="10">
        <f t="shared" si="2"/>
        <v>8.0000000000000071E-2</v>
      </c>
      <c r="J54" s="9">
        <v>165</v>
      </c>
      <c r="K54" s="13" t="s">
        <v>122</v>
      </c>
      <c r="L54" s="17">
        <f>J54/F54-1</f>
        <v>0.32000000000000006</v>
      </c>
      <c r="M54" s="14" t="s">
        <v>126</v>
      </c>
      <c r="N54" s="38">
        <v>154</v>
      </c>
    </row>
    <row r="55" spans="2:14" ht="15" customHeight="1" x14ac:dyDescent="0.3">
      <c r="B55" s="54" t="s">
        <v>225</v>
      </c>
      <c r="C55" s="55" t="s">
        <v>226</v>
      </c>
      <c r="D55" s="56" t="s">
        <v>10</v>
      </c>
      <c r="E55" s="62">
        <v>30.5</v>
      </c>
      <c r="F55" s="40"/>
      <c r="G55" s="40"/>
      <c r="H55" s="40"/>
      <c r="I55" s="40"/>
      <c r="J55" s="40"/>
      <c r="K55" s="40"/>
      <c r="L55" s="40"/>
      <c r="M55" s="40"/>
      <c r="N55" s="40"/>
    </row>
    <row r="56" spans="2:14" ht="18.75" x14ac:dyDescent="0.3">
      <c r="B56" s="54" t="s">
        <v>227</v>
      </c>
      <c r="C56" s="55" t="s">
        <v>228</v>
      </c>
      <c r="D56" s="56" t="s">
        <v>10</v>
      </c>
      <c r="E56" s="62">
        <v>27.5</v>
      </c>
      <c r="F56" s="20">
        <v>150</v>
      </c>
      <c r="G56" s="12">
        <f>E56/F56-1</f>
        <v>-0.81666666666666665</v>
      </c>
      <c r="H56" s="11">
        <v>150</v>
      </c>
      <c r="I56" s="12">
        <f t="shared" si="2"/>
        <v>0</v>
      </c>
      <c r="J56" s="11">
        <v>150</v>
      </c>
      <c r="K56" s="18"/>
      <c r="L56" s="21">
        <f>J56/F56-1</f>
        <v>0</v>
      </c>
      <c r="M56" s="19"/>
      <c r="N56" s="38">
        <v>160</v>
      </c>
    </row>
    <row r="57" spans="2:14" ht="18.75" x14ac:dyDescent="0.3">
      <c r="B57" s="54" t="s">
        <v>229</v>
      </c>
      <c r="C57" s="55" t="s">
        <v>20</v>
      </c>
      <c r="D57" s="56" t="s">
        <v>10</v>
      </c>
      <c r="E57" s="62">
        <v>31.5</v>
      </c>
      <c r="F57" s="20">
        <v>110</v>
      </c>
      <c r="G57" s="12">
        <f>E57/F57-1</f>
        <v>-0.71363636363636362</v>
      </c>
      <c r="H57" s="11">
        <v>110</v>
      </c>
      <c r="I57" s="12">
        <f t="shared" si="2"/>
        <v>0</v>
      </c>
      <c r="J57" s="11">
        <v>110</v>
      </c>
      <c r="K57" s="18"/>
      <c r="L57" s="21">
        <f>J57/F57-1</f>
        <v>0</v>
      </c>
      <c r="M57" s="19"/>
      <c r="N57" s="38">
        <v>117.5</v>
      </c>
    </row>
    <row r="58" spans="2:14" ht="18.75" x14ac:dyDescent="0.3">
      <c r="B58" s="54" t="s">
        <v>230</v>
      </c>
      <c r="C58" s="63" t="s">
        <v>231</v>
      </c>
      <c r="D58" s="56" t="s">
        <v>10</v>
      </c>
      <c r="E58" s="62">
        <v>22</v>
      </c>
      <c r="F58" s="20">
        <v>140</v>
      </c>
      <c r="G58" s="12">
        <f>E58/F58-1</f>
        <v>-0.84285714285714286</v>
      </c>
      <c r="H58" s="11">
        <v>140</v>
      </c>
      <c r="I58" s="12">
        <f t="shared" si="2"/>
        <v>0</v>
      </c>
      <c r="J58" s="11">
        <v>140</v>
      </c>
      <c r="K58" s="18"/>
      <c r="L58" s="21">
        <f>J58/F58-1</f>
        <v>0</v>
      </c>
      <c r="M58" s="19"/>
      <c r="N58" s="38">
        <v>150</v>
      </c>
    </row>
    <row r="59" spans="2:14" ht="15" customHeight="1" x14ac:dyDescent="0.3">
      <c r="B59" s="54" t="s">
        <v>232</v>
      </c>
      <c r="C59" s="63" t="s">
        <v>233</v>
      </c>
      <c r="D59" s="56" t="s">
        <v>10</v>
      </c>
      <c r="E59" s="62">
        <v>26</v>
      </c>
      <c r="F59" s="35"/>
      <c r="G59" s="35"/>
      <c r="H59" s="35"/>
      <c r="I59" s="35"/>
      <c r="J59" s="35"/>
      <c r="K59" s="35"/>
      <c r="L59" s="35"/>
      <c r="M59" s="35"/>
      <c r="N59" s="40"/>
    </row>
    <row r="60" spans="2:14" ht="18.75" x14ac:dyDescent="0.3">
      <c r="B60" s="54" t="s">
        <v>234</v>
      </c>
      <c r="C60" s="55" t="s">
        <v>95</v>
      </c>
      <c r="D60" s="56" t="s">
        <v>9</v>
      </c>
      <c r="E60" s="62">
        <v>11.5</v>
      </c>
      <c r="F60" s="15">
        <v>40</v>
      </c>
      <c r="G60" s="10">
        <f t="shared" ref="G60:G68" si="3">E60/F60-1</f>
        <v>-0.71250000000000002</v>
      </c>
      <c r="H60" s="16">
        <v>40</v>
      </c>
      <c r="I60" s="10">
        <f t="shared" si="2"/>
        <v>0</v>
      </c>
      <c r="J60" s="9">
        <v>42</v>
      </c>
      <c r="K60" s="13" t="s">
        <v>121</v>
      </c>
      <c r="L60" s="17">
        <f t="shared" ref="L60:L68" si="4">J60/F60-1</f>
        <v>5.0000000000000044E-2</v>
      </c>
      <c r="M60" s="14" t="s">
        <v>126</v>
      </c>
      <c r="N60" s="38">
        <v>43</v>
      </c>
    </row>
    <row r="61" spans="2:14" ht="18.75" x14ac:dyDescent="0.3">
      <c r="B61" s="54" t="s">
        <v>235</v>
      </c>
      <c r="C61" s="55" t="s">
        <v>236</v>
      </c>
      <c r="D61" s="56" t="s">
        <v>10</v>
      </c>
      <c r="E61" s="62">
        <v>21.65</v>
      </c>
      <c r="F61" s="15">
        <v>40</v>
      </c>
      <c r="G61" s="10">
        <f t="shared" si="3"/>
        <v>-0.45874999999999999</v>
      </c>
      <c r="H61" s="16">
        <v>40</v>
      </c>
      <c r="I61" s="10">
        <f t="shared" si="2"/>
        <v>0</v>
      </c>
      <c r="J61" s="9">
        <v>42</v>
      </c>
      <c r="K61" s="13" t="s">
        <v>121</v>
      </c>
      <c r="L61" s="17">
        <f t="shared" si="4"/>
        <v>5.0000000000000044E-2</v>
      </c>
      <c r="M61" s="14" t="s">
        <v>126</v>
      </c>
      <c r="N61" s="38">
        <v>43</v>
      </c>
    </row>
    <row r="62" spans="2:14" ht="18.75" x14ac:dyDescent="0.3">
      <c r="B62" s="54" t="s">
        <v>237</v>
      </c>
      <c r="C62" s="55" t="s">
        <v>238</v>
      </c>
      <c r="D62" s="56" t="s">
        <v>10</v>
      </c>
      <c r="E62" s="62">
        <v>40.450000000000003</v>
      </c>
      <c r="F62" s="15">
        <v>40</v>
      </c>
      <c r="G62" s="10">
        <f t="shared" si="3"/>
        <v>1.1249999999999982E-2</v>
      </c>
      <c r="H62" s="16">
        <v>40</v>
      </c>
      <c r="I62" s="10">
        <f t="shared" si="2"/>
        <v>0</v>
      </c>
      <c r="J62" s="9">
        <v>42</v>
      </c>
      <c r="K62" s="13" t="s">
        <v>121</v>
      </c>
      <c r="L62" s="17">
        <f t="shared" si="4"/>
        <v>5.0000000000000044E-2</v>
      </c>
      <c r="M62" s="14" t="s">
        <v>126</v>
      </c>
      <c r="N62" s="38">
        <v>43</v>
      </c>
    </row>
    <row r="63" spans="2:14" ht="18.75" x14ac:dyDescent="0.3">
      <c r="B63" s="54" t="s">
        <v>239</v>
      </c>
      <c r="C63" s="55" t="s">
        <v>240</v>
      </c>
      <c r="D63" s="56" t="s">
        <v>10</v>
      </c>
      <c r="E63" s="62">
        <v>55</v>
      </c>
      <c r="F63" s="15">
        <v>40</v>
      </c>
      <c r="G63" s="10">
        <f t="shared" si="3"/>
        <v>0.375</v>
      </c>
      <c r="H63" s="16">
        <v>40</v>
      </c>
      <c r="I63" s="10">
        <f t="shared" si="2"/>
        <v>0</v>
      </c>
      <c r="J63" s="9">
        <v>42</v>
      </c>
      <c r="K63" s="13" t="s">
        <v>121</v>
      </c>
      <c r="L63" s="17">
        <f t="shared" si="4"/>
        <v>5.0000000000000044E-2</v>
      </c>
      <c r="M63" s="14" t="s">
        <v>126</v>
      </c>
      <c r="N63" s="38">
        <v>43</v>
      </c>
    </row>
    <row r="64" spans="2:14" ht="18.75" x14ac:dyDescent="0.3">
      <c r="B64" s="54" t="s">
        <v>241</v>
      </c>
      <c r="C64" s="55" t="s">
        <v>242</v>
      </c>
      <c r="D64" s="56" t="s">
        <v>10</v>
      </c>
      <c r="E64" s="62">
        <v>49.3</v>
      </c>
      <c r="F64" s="15">
        <v>35</v>
      </c>
      <c r="G64" s="10">
        <f t="shared" si="3"/>
        <v>0.40857142857142859</v>
      </c>
      <c r="H64" s="16">
        <v>37</v>
      </c>
      <c r="I64" s="10">
        <f t="shared" si="2"/>
        <v>5.7142857142857162E-2</v>
      </c>
      <c r="J64" s="22">
        <v>37</v>
      </c>
      <c r="K64" s="13"/>
      <c r="L64" s="17">
        <f t="shared" si="4"/>
        <v>5.7142857142857162E-2</v>
      </c>
      <c r="M64" s="14"/>
      <c r="N64" s="38">
        <v>39</v>
      </c>
    </row>
    <row r="65" spans="2:14" ht="18.75" x14ac:dyDescent="0.3">
      <c r="B65" s="54" t="s">
        <v>243</v>
      </c>
      <c r="C65" s="55" t="s">
        <v>244</v>
      </c>
      <c r="D65" s="56" t="s">
        <v>10</v>
      </c>
      <c r="E65" s="62">
        <v>39</v>
      </c>
      <c r="F65" s="15">
        <v>30</v>
      </c>
      <c r="G65" s="10">
        <f t="shared" si="3"/>
        <v>0.30000000000000004</v>
      </c>
      <c r="H65" s="16">
        <v>32</v>
      </c>
      <c r="I65" s="10">
        <f t="shared" si="2"/>
        <v>6.6666666666666652E-2</v>
      </c>
      <c r="J65" s="22">
        <v>32</v>
      </c>
      <c r="K65" s="13"/>
      <c r="L65" s="17">
        <f t="shared" si="4"/>
        <v>6.6666666666666652E-2</v>
      </c>
      <c r="M65" s="14"/>
      <c r="N65" s="38">
        <v>33.5</v>
      </c>
    </row>
    <row r="66" spans="2:14" ht="18.75" x14ac:dyDescent="0.3">
      <c r="B66" s="54" t="s">
        <v>245</v>
      </c>
      <c r="C66" s="55" t="s">
        <v>246</v>
      </c>
      <c r="D66" s="56" t="s">
        <v>10</v>
      </c>
      <c r="E66" s="62">
        <v>39</v>
      </c>
      <c r="F66" s="15">
        <v>70</v>
      </c>
      <c r="G66" s="10">
        <f t="shared" si="3"/>
        <v>-0.44285714285714284</v>
      </c>
      <c r="H66" s="22">
        <v>75</v>
      </c>
      <c r="I66" s="10">
        <f t="shared" si="2"/>
        <v>7.1428571428571397E-2</v>
      </c>
      <c r="J66" s="22">
        <v>75</v>
      </c>
      <c r="K66" s="13"/>
      <c r="L66" s="17">
        <f t="shared" si="4"/>
        <v>7.1428571428571397E-2</v>
      </c>
      <c r="M66" s="14"/>
      <c r="N66" s="38">
        <v>82</v>
      </c>
    </row>
    <row r="67" spans="2:14" ht="18.75" x14ac:dyDescent="0.3">
      <c r="B67" s="54" t="s">
        <v>247</v>
      </c>
      <c r="C67" s="55" t="s">
        <v>96</v>
      </c>
      <c r="D67" s="56" t="s">
        <v>10</v>
      </c>
      <c r="E67" s="62">
        <v>56</v>
      </c>
      <c r="F67" s="15">
        <v>100</v>
      </c>
      <c r="G67" s="10">
        <f t="shared" si="3"/>
        <v>-0.43999999999999995</v>
      </c>
      <c r="H67" s="16">
        <v>110</v>
      </c>
      <c r="I67" s="10">
        <f t="shared" ref="I67:I134" si="5">H67/F67-1</f>
        <v>0.10000000000000009</v>
      </c>
      <c r="J67" s="22">
        <v>110</v>
      </c>
      <c r="K67" s="13"/>
      <c r="L67" s="17">
        <f t="shared" si="4"/>
        <v>0.10000000000000009</v>
      </c>
      <c r="M67" s="14"/>
      <c r="N67" s="38">
        <v>120</v>
      </c>
    </row>
    <row r="68" spans="2:14" ht="18.75" x14ac:dyDescent="0.3">
      <c r="B68" s="54" t="s">
        <v>248</v>
      </c>
      <c r="C68" s="55" t="s">
        <v>97</v>
      </c>
      <c r="D68" s="56" t="s">
        <v>10</v>
      </c>
      <c r="E68" s="62">
        <v>56</v>
      </c>
      <c r="F68" s="20">
        <v>38</v>
      </c>
      <c r="G68" s="12">
        <f t="shared" si="3"/>
        <v>0.47368421052631571</v>
      </c>
      <c r="H68" s="11">
        <v>40</v>
      </c>
      <c r="I68" s="12">
        <f t="shared" si="5"/>
        <v>5.2631578947368363E-2</v>
      </c>
      <c r="J68" s="11">
        <v>40</v>
      </c>
      <c r="K68" s="18"/>
      <c r="L68" s="21">
        <f t="shared" si="4"/>
        <v>5.2631578947368363E-2</v>
      </c>
      <c r="M68" s="19"/>
      <c r="N68" s="38">
        <v>42.5</v>
      </c>
    </row>
    <row r="69" spans="2:14" ht="15" customHeight="1" x14ac:dyDescent="0.3">
      <c r="B69" s="54" t="s">
        <v>249</v>
      </c>
      <c r="C69" s="55" t="s">
        <v>250</v>
      </c>
      <c r="D69" s="56" t="s">
        <v>10</v>
      </c>
      <c r="E69" s="62">
        <v>53</v>
      </c>
      <c r="F69" s="35"/>
      <c r="G69" s="35"/>
      <c r="H69" s="35"/>
      <c r="I69" s="35"/>
      <c r="J69" s="35"/>
      <c r="K69" s="35"/>
      <c r="L69" s="35"/>
      <c r="M69" s="35"/>
      <c r="N69" s="40"/>
    </row>
    <row r="70" spans="2:14" ht="18.75" x14ac:dyDescent="0.3">
      <c r="B70" s="54" t="s">
        <v>251</v>
      </c>
      <c r="C70" s="55" t="s">
        <v>252</v>
      </c>
      <c r="D70" s="56" t="s">
        <v>10</v>
      </c>
      <c r="E70" s="62">
        <v>6.4</v>
      </c>
      <c r="F70" s="15">
        <v>9.5</v>
      </c>
      <c r="G70" s="10">
        <f t="shared" ref="G70:G84" si="6">E70/F70-1</f>
        <v>-0.32631578947368423</v>
      </c>
      <c r="H70" s="16">
        <v>10</v>
      </c>
      <c r="I70" s="10">
        <f t="shared" ref="I70" si="7">H70/F70-1</f>
        <v>5.2631578947368363E-2</v>
      </c>
      <c r="J70" s="9">
        <v>10.5</v>
      </c>
      <c r="K70" s="13" t="s">
        <v>123</v>
      </c>
      <c r="L70" s="17">
        <f>J70/F70-1</f>
        <v>0.10526315789473695</v>
      </c>
      <c r="M70" s="14" t="s">
        <v>126</v>
      </c>
      <c r="N70" s="9">
        <v>10.9</v>
      </c>
    </row>
    <row r="71" spans="2:14" ht="18.75" x14ac:dyDescent="0.3">
      <c r="B71" s="54" t="s">
        <v>253</v>
      </c>
      <c r="C71" s="55" t="s">
        <v>254</v>
      </c>
      <c r="D71" s="56" t="s">
        <v>10</v>
      </c>
      <c r="E71" s="62">
        <v>5.8</v>
      </c>
      <c r="F71" s="15">
        <v>9.5</v>
      </c>
      <c r="G71" s="10">
        <f t="shared" si="6"/>
        <v>-0.38947368421052631</v>
      </c>
      <c r="H71" s="16">
        <v>9.5</v>
      </c>
      <c r="I71" s="10">
        <f t="shared" si="5"/>
        <v>0</v>
      </c>
      <c r="J71" s="16"/>
      <c r="K71" s="13"/>
      <c r="L71" s="17"/>
      <c r="M71" s="14" t="s">
        <v>126</v>
      </c>
      <c r="N71" s="9">
        <v>10.4</v>
      </c>
    </row>
    <row r="72" spans="2:14" ht="18.75" x14ac:dyDescent="0.3">
      <c r="B72" s="54" t="s">
        <v>255</v>
      </c>
      <c r="C72" s="55" t="s">
        <v>256</v>
      </c>
      <c r="D72" s="56" t="s">
        <v>9</v>
      </c>
      <c r="E72" s="62">
        <v>11.25</v>
      </c>
      <c r="F72" s="15">
        <v>9.5</v>
      </c>
      <c r="G72" s="10">
        <f t="shared" si="6"/>
        <v>0.18421052631578938</v>
      </c>
      <c r="H72" s="16">
        <v>10.199999999999999</v>
      </c>
      <c r="I72" s="10">
        <f t="shared" ref="I72" si="8">H72/F72-1</f>
        <v>7.3684210526315796E-2</v>
      </c>
      <c r="J72" s="9">
        <v>11</v>
      </c>
      <c r="K72" s="13" t="s">
        <v>123</v>
      </c>
      <c r="L72" s="17">
        <f>J72/F72-1</f>
        <v>0.15789473684210531</v>
      </c>
      <c r="M72" s="14" t="s">
        <v>126</v>
      </c>
      <c r="N72" s="9">
        <v>10.95</v>
      </c>
    </row>
    <row r="73" spans="2:14" ht="18.75" x14ac:dyDescent="0.3">
      <c r="B73" s="54" t="s">
        <v>257</v>
      </c>
      <c r="C73" s="55" t="s">
        <v>258</v>
      </c>
      <c r="D73" s="56" t="s">
        <v>9</v>
      </c>
      <c r="E73" s="62">
        <v>12</v>
      </c>
      <c r="F73" s="15">
        <v>9.5</v>
      </c>
      <c r="G73" s="10">
        <f t="shared" si="6"/>
        <v>0.26315789473684204</v>
      </c>
      <c r="H73" s="16">
        <v>9.6999999999999993</v>
      </c>
      <c r="I73" s="10">
        <f t="shared" si="5"/>
        <v>2.1052631578947212E-2</v>
      </c>
      <c r="J73" s="16"/>
      <c r="K73" s="13"/>
      <c r="L73" s="17"/>
      <c r="M73" s="14" t="s">
        <v>126</v>
      </c>
      <c r="N73" s="9">
        <v>10.45</v>
      </c>
    </row>
    <row r="74" spans="2:14" ht="18.75" x14ac:dyDescent="0.3">
      <c r="B74" s="54" t="s">
        <v>259</v>
      </c>
      <c r="C74" s="55" t="s">
        <v>260</v>
      </c>
      <c r="D74" s="56" t="s">
        <v>9</v>
      </c>
      <c r="E74" s="62">
        <v>10.5</v>
      </c>
      <c r="F74" s="20">
        <v>9.5</v>
      </c>
      <c r="G74" s="12">
        <f t="shared" si="6"/>
        <v>0.10526315789473695</v>
      </c>
      <c r="H74" s="11">
        <v>10.3</v>
      </c>
      <c r="I74" s="12">
        <f t="shared" ref="I74" si="9">H74/F74-1</f>
        <v>8.4210526315789513E-2</v>
      </c>
      <c r="J74" s="11">
        <v>11.5</v>
      </c>
      <c r="K74" s="18" t="s">
        <v>123</v>
      </c>
      <c r="L74" s="21">
        <f>J74/F74-1</f>
        <v>0.21052631578947367</v>
      </c>
      <c r="M74" s="19" t="s">
        <v>126</v>
      </c>
      <c r="N74" s="38">
        <v>11</v>
      </c>
    </row>
    <row r="75" spans="2:14" ht="18.75" x14ac:dyDescent="0.3">
      <c r="B75" s="54" t="s">
        <v>261</v>
      </c>
      <c r="C75" s="58" t="s">
        <v>262</v>
      </c>
      <c r="D75" s="56" t="s">
        <v>9</v>
      </c>
      <c r="E75" s="62">
        <v>9.35</v>
      </c>
      <c r="F75" s="20">
        <v>9.5</v>
      </c>
      <c r="G75" s="12">
        <f t="shared" si="6"/>
        <v>-1.5789473684210575E-2</v>
      </c>
      <c r="H75" s="11">
        <v>9.8000000000000007</v>
      </c>
      <c r="I75" s="12">
        <f t="shared" si="5"/>
        <v>3.1578947368421151E-2</v>
      </c>
      <c r="J75" s="11"/>
      <c r="K75" s="18"/>
      <c r="L75" s="21"/>
      <c r="M75" s="19" t="s">
        <v>126</v>
      </c>
      <c r="N75" s="38">
        <v>10.5</v>
      </c>
    </row>
    <row r="76" spans="2:14" ht="18.75" x14ac:dyDescent="0.3">
      <c r="B76" s="54" t="s">
        <v>263</v>
      </c>
      <c r="C76" s="58" t="s">
        <v>264</v>
      </c>
      <c r="D76" s="60"/>
      <c r="E76" s="62">
        <v>42.5</v>
      </c>
      <c r="F76" s="20">
        <v>9.5</v>
      </c>
      <c r="G76" s="12">
        <f t="shared" si="6"/>
        <v>3.4736842105263159</v>
      </c>
      <c r="H76" s="11">
        <v>10.5</v>
      </c>
      <c r="I76" s="12">
        <f t="shared" ref="I76" si="10">H76/F76-1</f>
        <v>0.10526315789473695</v>
      </c>
      <c r="J76" s="11">
        <v>12</v>
      </c>
      <c r="K76" s="18" t="s">
        <v>123</v>
      </c>
      <c r="L76" s="21">
        <f>J76/F76-1</f>
        <v>0.26315789473684204</v>
      </c>
      <c r="M76" s="19" t="s">
        <v>126</v>
      </c>
      <c r="N76" s="38">
        <v>11.2</v>
      </c>
    </row>
    <row r="77" spans="2:14" ht="18.75" x14ac:dyDescent="0.3">
      <c r="B77" s="54" t="s">
        <v>265</v>
      </c>
      <c r="C77" s="58" t="s">
        <v>266</v>
      </c>
      <c r="D77" s="60"/>
      <c r="E77" s="62">
        <v>42.5</v>
      </c>
      <c r="F77" s="20">
        <v>9.5</v>
      </c>
      <c r="G77" s="12">
        <f t="shared" si="6"/>
        <v>3.4736842105263159</v>
      </c>
      <c r="H77" s="11">
        <v>10</v>
      </c>
      <c r="I77" s="12">
        <f t="shared" si="5"/>
        <v>5.2631578947368363E-2</v>
      </c>
      <c r="J77" s="11"/>
      <c r="K77" s="18"/>
      <c r="L77" s="21"/>
      <c r="M77" s="19" t="s">
        <v>126</v>
      </c>
      <c r="N77" s="38">
        <v>10.7</v>
      </c>
    </row>
    <row r="78" spans="2:14" ht="18.75" x14ac:dyDescent="0.3">
      <c r="B78" s="54" t="s">
        <v>267</v>
      </c>
      <c r="C78" s="55" t="s">
        <v>268</v>
      </c>
      <c r="D78" s="56" t="s">
        <v>10</v>
      </c>
      <c r="E78" s="62">
        <v>120</v>
      </c>
      <c r="F78" s="20">
        <v>14</v>
      </c>
      <c r="G78" s="12">
        <f t="shared" si="6"/>
        <v>7.5714285714285712</v>
      </c>
      <c r="H78" s="11">
        <v>14</v>
      </c>
      <c r="I78" s="12">
        <f t="shared" si="5"/>
        <v>0</v>
      </c>
      <c r="J78" s="11">
        <v>15</v>
      </c>
      <c r="K78" s="18" t="s">
        <v>123</v>
      </c>
      <c r="L78" s="21">
        <f t="shared" ref="L78:L84" si="11">J78/F78-1</f>
        <v>7.1428571428571397E-2</v>
      </c>
      <c r="M78" s="19" t="s">
        <v>126</v>
      </c>
      <c r="N78" s="38">
        <v>15</v>
      </c>
    </row>
    <row r="79" spans="2:14" ht="18.75" x14ac:dyDescent="0.3">
      <c r="B79" s="54" t="s">
        <v>269</v>
      </c>
      <c r="C79" s="55" t="s">
        <v>270</v>
      </c>
      <c r="D79" s="56" t="s">
        <v>10</v>
      </c>
      <c r="E79" s="62">
        <v>105</v>
      </c>
      <c r="F79" s="20">
        <v>12</v>
      </c>
      <c r="G79" s="12">
        <f t="shared" si="6"/>
        <v>7.75</v>
      </c>
      <c r="H79" s="11">
        <v>13</v>
      </c>
      <c r="I79" s="12">
        <f t="shared" si="5"/>
        <v>8.3333333333333259E-2</v>
      </c>
      <c r="J79" s="11">
        <v>13</v>
      </c>
      <c r="K79" s="18"/>
      <c r="L79" s="21">
        <f t="shared" si="11"/>
        <v>8.3333333333333259E-2</v>
      </c>
      <c r="M79" s="19"/>
      <c r="N79" s="38">
        <v>13.8</v>
      </c>
    </row>
    <row r="80" spans="2:14" ht="18.75" x14ac:dyDescent="0.3">
      <c r="B80" s="54" t="s">
        <v>271</v>
      </c>
      <c r="C80" s="55" t="s">
        <v>272</v>
      </c>
      <c r="D80" s="56" t="s">
        <v>10</v>
      </c>
      <c r="E80" s="62">
        <v>120</v>
      </c>
      <c r="F80" s="20">
        <v>12</v>
      </c>
      <c r="G80" s="12">
        <f t="shared" si="6"/>
        <v>9</v>
      </c>
      <c r="H80" s="11">
        <v>13.5</v>
      </c>
      <c r="I80" s="12">
        <f t="shared" si="5"/>
        <v>0.125</v>
      </c>
      <c r="J80" s="11">
        <v>13.5</v>
      </c>
      <c r="K80" s="18"/>
      <c r="L80" s="21">
        <f t="shared" si="11"/>
        <v>0.125</v>
      </c>
      <c r="M80" s="19"/>
      <c r="N80" s="38">
        <v>14.3</v>
      </c>
    </row>
    <row r="81" spans="2:14" ht="18.75" x14ac:dyDescent="0.3">
      <c r="B81" s="54" t="s">
        <v>273</v>
      </c>
      <c r="C81" s="55" t="s">
        <v>274</v>
      </c>
      <c r="D81" s="56" t="s">
        <v>10</v>
      </c>
      <c r="E81" s="62">
        <v>90</v>
      </c>
      <c r="F81" s="20">
        <v>12</v>
      </c>
      <c r="G81" s="12">
        <f t="shared" si="6"/>
        <v>6.5</v>
      </c>
      <c r="H81" s="11">
        <v>12</v>
      </c>
      <c r="I81" s="12">
        <f t="shared" si="5"/>
        <v>0</v>
      </c>
      <c r="J81" s="11">
        <v>12</v>
      </c>
      <c r="K81" s="18"/>
      <c r="L81" s="21">
        <f t="shared" si="11"/>
        <v>0</v>
      </c>
      <c r="M81" s="19"/>
      <c r="N81" s="38">
        <v>12.8</v>
      </c>
    </row>
    <row r="82" spans="2:14" ht="18.75" x14ac:dyDescent="0.3">
      <c r="B82" s="54" t="s">
        <v>275</v>
      </c>
      <c r="C82" s="55" t="s">
        <v>276</v>
      </c>
      <c r="D82" s="56" t="s">
        <v>10</v>
      </c>
      <c r="E82" s="62">
        <v>75</v>
      </c>
      <c r="F82" s="20">
        <v>13</v>
      </c>
      <c r="G82" s="12">
        <f t="shared" si="6"/>
        <v>4.7692307692307692</v>
      </c>
      <c r="H82" s="11">
        <v>13.5</v>
      </c>
      <c r="I82" s="12">
        <f t="shared" si="5"/>
        <v>3.8461538461538547E-2</v>
      </c>
      <c r="J82" s="11">
        <v>13.5</v>
      </c>
      <c r="K82" s="18"/>
      <c r="L82" s="21">
        <f t="shared" si="11"/>
        <v>3.8461538461538547E-2</v>
      </c>
      <c r="M82" s="19"/>
      <c r="N82" s="38">
        <v>14.3</v>
      </c>
    </row>
    <row r="83" spans="2:14" ht="18.75" x14ac:dyDescent="0.3">
      <c r="B83" s="54" t="s">
        <v>277</v>
      </c>
      <c r="C83" s="58" t="s">
        <v>278</v>
      </c>
      <c r="D83" s="56" t="s">
        <v>10</v>
      </c>
      <c r="E83" s="62">
        <v>33</v>
      </c>
      <c r="F83" s="20">
        <v>8</v>
      </c>
      <c r="G83" s="12">
        <f t="shared" si="6"/>
        <v>3.125</v>
      </c>
      <c r="H83" s="11">
        <v>8.8000000000000007</v>
      </c>
      <c r="I83" s="12">
        <f t="shared" si="5"/>
        <v>0.10000000000000009</v>
      </c>
      <c r="J83" s="11">
        <v>8.8000000000000007</v>
      </c>
      <c r="K83" s="18"/>
      <c r="L83" s="21">
        <f t="shared" si="11"/>
        <v>0.10000000000000009</v>
      </c>
      <c r="M83" s="19"/>
      <c r="N83" s="38">
        <v>9.4</v>
      </c>
    </row>
    <row r="84" spans="2:14" ht="18.75" x14ac:dyDescent="0.3">
      <c r="B84" s="54" t="s">
        <v>279</v>
      </c>
      <c r="C84" s="55" t="s">
        <v>103</v>
      </c>
      <c r="D84" s="56" t="s">
        <v>29</v>
      </c>
      <c r="E84" s="62">
        <v>25</v>
      </c>
      <c r="F84" s="15">
        <v>8</v>
      </c>
      <c r="G84" s="10">
        <f t="shared" si="6"/>
        <v>2.125</v>
      </c>
      <c r="H84" s="16">
        <v>8</v>
      </c>
      <c r="I84" s="10">
        <f t="shared" si="5"/>
        <v>0</v>
      </c>
      <c r="J84" s="9">
        <v>9</v>
      </c>
      <c r="K84" s="13" t="s">
        <v>121</v>
      </c>
      <c r="L84" s="17">
        <f t="shared" si="11"/>
        <v>0.125</v>
      </c>
      <c r="M84" s="14" t="s">
        <v>126</v>
      </c>
      <c r="N84" s="9">
        <v>8.8000000000000007</v>
      </c>
    </row>
    <row r="85" spans="2:14" ht="18.75" x14ac:dyDescent="0.3">
      <c r="B85" s="54" t="s">
        <v>280</v>
      </c>
      <c r="C85" s="55" t="s">
        <v>105</v>
      </c>
      <c r="D85" s="56" t="s">
        <v>29</v>
      </c>
      <c r="E85" s="62">
        <v>35</v>
      </c>
      <c r="F85" s="51" t="s">
        <v>115</v>
      </c>
      <c r="G85" s="51"/>
      <c r="H85" s="16">
        <v>9</v>
      </c>
      <c r="I85" s="10"/>
      <c r="J85" s="9">
        <v>10</v>
      </c>
      <c r="K85" s="13" t="s">
        <v>121</v>
      </c>
      <c r="L85" s="17"/>
      <c r="M85" s="14" t="s">
        <v>126</v>
      </c>
      <c r="N85" s="9">
        <v>9.9</v>
      </c>
    </row>
    <row r="86" spans="2:14" ht="18.75" x14ac:dyDescent="0.3">
      <c r="B86" s="54" t="s">
        <v>281</v>
      </c>
      <c r="C86" s="55" t="s">
        <v>70</v>
      </c>
      <c r="D86" s="56" t="s">
        <v>60</v>
      </c>
      <c r="E86" s="62">
        <v>14.5</v>
      </c>
      <c r="F86" s="15">
        <v>4.5</v>
      </c>
      <c r="G86" s="10">
        <f>E86/F86-1</f>
        <v>2.2222222222222223</v>
      </c>
      <c r="H86" s="22">
        <v>5</v>
      </c>
      <c r="I86" s="10">
        <f t="shared" si="5"/>
        <v>0.11111111111111116</v>
      </c>
      <c r="J86" s="22">
        <v>5</v>
      </c>
      <c r="K86" s="13"/>
      <c r="L86" s="17">
        <f>J86/F86-1</f>
        <v>0.11111111111111116</v>
      </c>
      <c r="M86" s="14"/>
      <c r="N86" s="9">
        <v>5.5</v>
      </c>
    </row>
    <row r="87" spans="2:14" ht="18.75" x14ac:dyDescent="0.3">
      <c r="B87" s="54" t="s">
        <v>282</v>
      </c>
      <c r="C87" s="55" t="s">
        <v>68</v>
      </c>
      <c r="D87" s="56" t="s">
        <v>60</v>
      </c>
      <c r="E87" s="62">
        <v>17.5</v>
      </c>
      <c r="F87" s="51" t="s">
        <v>115</v>
      </c>
      <c r="G87" s="51"/>
      <c r="H87" s="16">
        <v>5.5</v>
      </c>
      <c r="I87" s="10"/>
      <c r="J87" s="9">
        <v>7</v>
      </c>
      <c r="K87" s="13" t="s">
        <v>123</v>
      </c>
      <c r="L87" s="17"/>
      <c r="M87" s="14"/>
      <c r="N87" s="9">
        <v>6.6</v>
      </c>
    </row>
    <row r="88" spans="2:14" ht="18.75" x14ac:dyDescent="0.3">
      <c r="B88" s="54" t="s">
        <v>283</v>
      </c>
      <c r="C88" s="55" t="s">
        <v>69</v>
      </c>
      <c r="D88" s="56" t="s">
        <v>60</v>
      </c>
      <c r="E88" s="62">
        <v>18.5</v>
      </c>
      <c r="F88" s="15">
        <v>5</v>
      </c>
      <c r="G88" s="10">
        <f>E88/F88-1</f>
        <v>2.7</v>
      </c>
      <c r="H88" s="16">
        <v>6</v>
      </c>
      <c r="I88" s="10">
        <f t="shared" ref="I88" si="12">H88/F88-1</f>
        <v>0.19999999999999996</v>
      </c>
      <c r="J88" s="16">
        <v>7</v>
      </c>
      <c r="K88" s="13"/>
      <c r="L88" s="17">
        <f>J88/F88-1</f>
        <v>0.39999999999999991</v>
      </c>
      <c r="M88" s="14" t="s">
        <v>125</v>
      </c>
      <c r="N88" s="38">
        <v>7.7</v>
      </c>
    </row>
    <row r="89" spans="2:14" ht="18.75" x14ac:dyDescent="0.3">
      <c r="B89" s="54" t="s">
        <v>284</v>
      </c>
      <c r="C89" s="55" t="s">
        <v>66</v>
      </c>
      <c r="D89" s="56" t="s">
        <v>60</v>
      </c>
      <c r="E89" s="62">
        <v>17.5</v>
      </c>
      <c r="F89" s="15">
        <v>5</v>
      </c>
      <c r="G89" s="10">
        <f>E89/F89-1</f>
        <v>2.5</v>
      </c>
      <c r="H89" s="16">
        <v>5.5</v>
      </c>
      <c r="I89" s="10">
        <f t="shared" si="5"/>
        <v>0.10000000000000009</v>
      </c>
      <c r="J89" s="16"/>
      <c r="K89" s="13"/>
      <c r="L89" s="17">
        <f>J89/F89-1</f>
        <v>-1</v>
      </c>
      <c r="M89" s="14" t="s">
        <v>128</v>
      </c>
      <c r="N89" s="38">
        <v>7</v>
      </c>
    </row>
    <row r="90" spans="2:14" ht="18.75" x14ac:dyDescent="0.3">
      <c r="B90" s="54" t="s">
        <v>285</v>
      </c>
      <c r="C90" s="55" t="s">
        <v>67</v>
      </c>
      <c r="D90" s="56" t="s">
        <v>60</v>
      </c>
      <c r="E90" s="62">
        <v>18.5</v>
      </c>
      <c r="F90" s="51" t="s">
        <v>115</v>
      </c>
      <c r="G90" s="51"/>
      <c r="H90" s="22">
        <v>8</v>
      </c>
      <c r="I90" s="10"/>
      <c r="J90" s="22">
        <v>8</v>
      </c>
      <c r="K90" s="13"/>
      <c r="L90" s="17"/>
      <c r="M90" s="14"/>
      <c r="N90" s="38">
        <v>8.6999999999999993</v>
      </c>
    </row>
    <row r="91" spans="2:14" ht="15" customHeight="1" x14ac:dyDescent="0.3">
      <c r="B91" s="54" t="s">
        <v>286</v>
      </c>
      <c r="C91" s="55" t="s">
        <v>59</v>
      </c>
      <c r="D91" s="56" t="s">
        <v>60</v>
      </c>
      <c r="E91" s="62">
        <v>17.5</v>
      </c>
      <c r="F91" s="40"/>
      <c r="G91" s="40"/>
      <c r="H91" s="40"/>
      <c r="I91" s="40"/>
      <c r="J91" s="40"/>
      <c r="K91" s="40"/>
      <c r="L91" s="40"/>
      <c r="M91" s="40"/>
      <c r="N91" s="40"/>
    </row>
    <row r="92" spans="2:14" ht="18.75" x14ac:dyDescent="0.3">
      <c r="B92" s="54" t="s">
        <v>287</v>
      </c>
      <c r="C92" s="55" t="s">
        <v>288</v>
      </c>
      <c r="D92" s="56" t="s">
        <v>60</v>
      </c>
      <c r="E92" s="62">
        <v>25</v>
      </c>
      <c r="F92" s="20">
        <v>25</v>
      </c>
      <c r="G92" s="12">
        <f>E92/F92-1</f>
        <v>0</v>
      </c>
      <c r="H92" s="11">
        <v>25</v>
      </c>
      <c r="I92" s="12">
        <f t="shared" si="5"/>
        <v>0</v>
      </c>
      <c r="J92" s="11">
        <v>27.5</v>
      </c>
      <c r="K92" s="18" t="s">
        <v>121</v>
      </c>
      <c r="L92" s="21">
        <f>J92/F92-1</f>
        <v>0.10000000000000009</v>
      </c>
      <c r="M92" s="19" t="s">
        <v>126</v>
      </c>
      <c r="N92" s="38">
        <v>26.5</v>
      </c>
    </row>
    <row r="93" spans="2:14" ht="18.75" x14ac:dyDescent="0.3">
      <c r="B93" s="54" t="s">
        <v>289</v>
      </c>
      <c r="C93" s="55" t="s">
        <v>290</v>
      </c>
      <c r="D93" s="56" t="s">
        <v>29</v>
      </c>
      <c r="E93" s="62">
        <v>35.5</v>
      </c>
      <c r="F93" s="20">
        <v>65</v>
      </c>
      <c r="G93" s="12">
        <f>E93/F93-1</f>
        <v>-0.4538461538461539</v>
      </c>
      <c r="H93" s="11">
        <v>65</v>
      </c>
      <c r="I93" s="12">
        <f t="shared" si="5"/>
        <v>0</v>
      </c>
      <c r="J93" s="11">
        <v>71.5</v>
      </c>
      <c r="K93" s="18" t="s">
        <v>121</v>
      </c>
      <c r="L93" s="21">
        <f>J93/F93-1</f>
        <v>0.10000000000000009</v>
      </c>
      <c r="M93" s="19" t="s">
        <v>126</v>
      </c>
      <c r="N93" s="38">
        <v>69</v>
      </c>
    </row>
    <row r="94" spans="2:14" ht="15" customHeight="1" x14ac:dyDescent="0.3">
      <c r="B94" s="54" t="s">
        <v>291</v>
      </c>
      <c r="C94" s="55" t="s">
        <v>292</v>
      </c>
      <c r="D94" s="56" t="s">
        <v>29</v>
      </c>
      <c r="E94" s="62">
        <v>35.5</v>
      </c>
      <c r="F94" s="40"/>
      <c r="G94" s="40"/>
      <c r="H94" s="40"/>
      <c r="I94" s="40"/>
      <c r="J94" s="40"/>
      <c r="K94" s="40"/>
      <c r="L94" s="40"/>
      <c r="M94" s="40"/>
      <c r="N94" s="40"/>
    </row>
    <row r="95" spans="2:14" ht="18.75" x14ac:dyDescent="0.3">
      <c r="B95" s="54" t="s">
        <v>293</v>
      </c>
      <c r="C95" s="55" t="s">
        <v>294</v>
      </c>
      <c r="D95" s="56" t="s">
        <v>29</v>
      </c>
      <c r="E95" s="62">
        <v>42.5</v>
      </c>
      <c r="F95" s="53" t="s">
        <v>115</v>
      </c>
      <c r="G95" s="53"/>
      <c r="H95" s="22">
        <v>45</v>
      </c>
      <c r="I95" s="10"/>
      <c r="J95" s="22">
        <v>45</v>
      </c>
      <c r="K95" s="13"/>
      <c r="L95" s="17"/>
      <c r="M95" s="14"/>
      <c r="N95" s="38">
        <v>48</v>
      </c>
    </row>
    <row r="96" spans="2:14" ht="18.75" x14ac:dyDescent="0.3">
      <c r="B96" s="54" t="s">
        <v>295</v>
      </c>
      <c r="C96" s="55" t="s">
        <v>296</v>
      </c>
      <c r="D96" s="56" t="s">
        <v>29</v>
      </c>
      <c r="E96" s="62">
        <v>29.5</v>
      </c>
      <c r="F96" s="15">
        <v>42</v>
      </c>
      <c r="G96" s="10">
        <f>E96/F96-1</f>
        <v>-0.29761904761904767</v>
      </c>
      <c r="H96" s="22">
        <v>45</v>
      </c>
      <c r="I96" s="10">
        <f t="shared" si="5"/>
        <v>7.1428571428571397E-2</v>
      </c>
      <c r="J96" s="22">
        <v>45</v>
      </c>
      <c r="K96" s="13"/>
      <c r="L96" s="17">
        <f>J96/F96-1</f>
        <v>7.1428571428571397E-2</v>
      </c>
      <c r="M96" s="14"/>
      <c r="N96" s="38">
        <v>48</v>
      </c>
    </row>
    <row r="97" spans="2:14" ht="18.75" x14ac:dyDescent="0.3">
      <c r="B97" s="54" t="s">
        <v>297</v>
      </c>
      <c r="C97" s="55" t="s">
        <v>298</v>
      </c>
      <c r="D97" s="56" t="s">
        <v>29</v>
      </c>
      <c r="E97" s="62">
        <v>45</v>
      </c>
      <c r="F97" s="15">
        <v>22</v>
      </c>
      <c r="G97" s="10">
        <f>E97/F97-1</f>
        <v>1.0454545454545454</v>
      </c>
      <c r="H97" s="22">
        <v>22</v>
      </c>
      <c r="I97" s="10">
        <f t="shared" si="5"/>
        <v>0</v>
      </c>
      <c r="J97" s="22">
        <v>22</v>
      </c>
      <c r="K97" s="13"/>
      <c r="L97" s="17">
        <f>J97/F97-1</f>
        <v>0</v>
      </c>
      <c r="M97" s="14"/>
      <c r="N97" s="38">
        <v>23.5</v>
      </c>
    </row>
    <row r="98" spans="2:14" ht="18.75" x14ac:dyDescent="0.3">
      <c r="B98" s="54" t="s">
        <v>299</v>
      </c>
      <c r="C98" s="55" t="s">
        <v>106</v>
      </c>
      <c r="D98" s="56" t="s">
        <v>60</v>
      </c>
      <c r="E98" s="62">
        <v>60</v>
      </c>
      <c r="F98" s="15">
        <v>46</v>
      </c>
      <c r="G98" s="10">
        <f>E98/F98-1</f>
        <v>0.30434782608695654</v>
      </c>
      <c r="H98" s="22">
        <v>46</v>
      </c>
      <c r="I98" s="10">
        <f t="shared" si="5"/>
        <v>0</v>
      </c>
      <c r="J98" s="22">
        <v>46</v>
      </c>
      <c r="K98" s="13"/>
      <c r="L98" s="17">
        <f>J98/F98-1</f>
        <v>0</v>
      </c>
      <c r="M98" s="14"/>
      <c r="N98" s="38">
        <v>49</v>
      </c>
    </row>
    <row r="99" spans="2:14" ht="18.75" x14ac:dyDescent="0.3">
      <c r="B99" s="54" t="s">
        <v>300</v>
      </c>
      <c r="C99" s="55" t="s">
        <v>11</v>
      </c>
      <c r="D99" s="56" t="s">
        <v>10</v>
      </c>
      <c r="E99" s="62">
        <v>14</v>
      </c>
      <c r="F99" s="53" t="s">
        <v>115</v>
      </c>
      <c r="G99" s="53"/>
      <c r="H99" s="16">
        <v>5.5</v>
      </c>
      <c r="I99" s="10"/>
      <c r="J99" s="22">
        <v>5.5</v>
      </c>
      <c r="K99" s="13"/>
      <c r="L99" s="17"/>
      <c r="M99" s="14"/>
      <c r="N99" s="38">
        <v>5.85</v>
      </c>
    </row>
    <row r="100" spans="2:14" ht="15" customHeight="1" x14ac:dyDescent="0.3">
      <c r="B100" s="54" t="s">
        <v>301</v>
      </c>
      <c r="C100" s="55" t="s">
        <v>302</v>
      </c>
      <c r="D100" s="56" t="s">
        <v>10</v>
      </c>
      <c r="E100" s="62">
        <v>14.5</v>
      </c>
      <c r="F100" s="40"/>
      <c r="G100" s="40"/>
      <c r="H100" s="40"/>
      <c r="I100" s="40"/>
      <c r="J100" s="40"/>
      <c r="K100" s="40"/>
      <c r="L100" s="40"/>
      <c r="M100" s="40"/>
      <c r="N100" s="40"/>
    </row>
    <row r="101" spans="2:14" ht="18.75" x14ac:dyDescent="0.3">
      <c r="B101" s="54" t="s">
        <v>303</v>
      </c>
      <c r="C101" s="55" t="s">
        <v>18</v>
      </c>
      <c r="D101" s="56" t="s">
        <v>10</v>
      </c>
      <c r="E101" s="62">
        <v>10</v>
      </c>
      <c r="F101" s="15">
        <v>13</v>
      </c>
      <c r="G101" s="10">
        <f t="shared" ref="G101:G111" si="13">E101/F101-1</f>
        <v>-0.23076923076923073</v>
      </c>
      <c r="H101" s="36">
        <v>13</v>
      </c>
      <c r="I101" s="10">
        <f t="shared" si="5"/>
        <v>0</v>
      </c>
      <c r="J101" s="36">
        <v>13</v>
      </c>
      <c r="K101" s="13"/>
      <c r="L101" s="17">
        <f t="shared" ref="L101:L111" si="14">J101/F101-1</f>
        <v>0</v>
      </c>
      <c r="M101" s="14"/>
      <c r="N101" s="38">
        <v>13.8</v>
      </c>
    </row>
    <row r="102" spans="2:14" ht="18.75" x14ac:dyDescent="0.3">
      <c r="B102" s="54" t="s">
        <v>0</v>
      </c>
      <c r="C102" s="55" t="s">
        <v>19</v>
      </c>
      <c r="D102" s="56" t="s">
        <v>10</v>
      </c>
      <c r="E102" s="62">
        <v>12.5</v>
      </c>
      <c r="F102" s="15">
        <v>14</v>
      </c>
      <c r="G102" s="10">
        <f t="shared" si="13"/>
        <v>-0.1071428571428571</v>
      </c>
      <c r="H102" s="36">
        <v>14</v>
      </c>
      <c r="I102" s="10">
        <f t="shared" si="5"/>
        <v>0</v>
      </c>
      <c r="J102" s="36">
        <v>14</v>
      </c>
      <c r="K102" s="13"/>
      <c r="L102" s="17">
        <f t="shared" si="14"/>
        <v>0</v>
      </c>
      <c r="M102" s="14"/>
      <c r="N102" s="38">
        <v>14.9</v>
      </c>
    </row>
    <row r="103" spans="2:14" ht="18.75" x14ac:dyDescent="0.3">
      <c r="B103" s="54" t="s">
        <v>1</v>
      </c>
      <c r="C103" s="55" t="s">
        <v>304</v>
      </c>
      <c r="D103" s="56" t="s">
        <v>10</v>
      </c>
      <c r="E103" s="62">
        <v>9.5</v>
      </c>
      <c r="F103" s="15">
        <v>12</v>
      </c>
      <c r="G103" s="10">
        <f t="shared" si="13"/>
        <v>-0.20833333333333337</v>
      </c>
      <c r="H103" s="36">
        <v>12</v>
      </c>
      <c r="I103" s="10">
        <f t="shared" si="5"/>
        <v>0</v>
      </c>
      <c r="J103" s="36">
        <v>12</v>
      </c>
      <c r="K103" s="13"/>
      <c r="L103" s="17">
        <f t="shared" si="14"/>
        <v>0</v>
      </c>
      <c r="M103" s="14"/>
      <c r="N103" s="38">
        <v>12.75</v>
      </c>
    </row>
    <row r="104" spans="2:14" ht="18.75" x14ac:dyDescent="0.3">
      <c r="B104" s="54" t="s">
        <v>2</v>
      </c>
      <c r="C104" s="55" t="s">
        <v>305</v>
      </c>
      <c r="D104" s="56" t="s">
        <v>10</v>
      </c>
      <c r="E104" s="62">
        <v>9</v>
      </c>
      <c r="F104" s="15">
        <v>9</v>
      </c>
      <c r="G104" s="10">
        <f t="shared" si="13"/>
        <v>0</v>
      </c>
      <c r="H104" s="36">
        <v>9</v>
      </c>
      <c r="I104" s="10">
        <f t="shared" si="5"/>
        <v>0</v>
      </c>
      <c r="J104" s="36">
        <v>9</v>
      </c>
      <c r="K104" s="13"/>
      <c r="L104" s="17">
        <f t="shared" si="14"/>
        <v>0</v>
      </c>
      <c r="M104" s="14"/>
      <c r="N104" s="38">
        <v>9.5500000000000007</v>
      </c>
    </row>
    <row r="105" spans="2:14" ht="18.75" x14ac:dyDescent="0.3">
      <c r="B105" s="54" t="s">
        <v>3</v>
      </c>
      <c r="C105" s="55" t="s">
        <v>306</v>
      </c>
      <c r="D105" s="56" t="s">
        <v>10</v>
      </c>
      <c r="E105" s="62">
        <v>12.4</v>
      </c>
      <c r="F105" s="15">
        <v>7.5</v>
      </c>
      <c r="G105" s="10">
        <f t="shared" si="13"/>
        <v>0.65333333333333332</v>
      </c>
      <c r="H105" s="36">
        <v>8</v>
      </c>
      <c r="I105" s="10">
        <f t="shared" si="5"/>
        <v>6.6666666666666652E-2</v>
      </c>
      <c r="J105" s="36">
        <v>8</v>
      </c>
      <c r="K105" s="13"/>
      <c r="L105" s="17">
        <f t="shared" si="14"/>
        <v>6.6666666666666652E-2</v>
      </c>
      <c r="M105" s="14"/>
      <c r="N105" s="38">
        <v>8.5</v>
      </c>
    </row>
    <row r="106" spans="2:14" ht="18.75" x14ac:dyDescent="0.3">
      <c r="B106" s="54" t="s">
        <v>4</v>
      </c>
      <c r="C106" s="58" t="s">
        <v>307</v>
      </c>
      <c r="D106" s="56" t="s">
        <v>10</v>
      </c>
      <c r="E106" s="62">
        <v>12</v>
      </c>
      <c r="F106" s="15">
        <v>5</v>
      </c>
      <c r="G106" s="10">
        <f t="shared" si="13"/>
        <v>1.4</v>
      </c>
      <c r="H106" s="36">
        <v>5</v>
      </c>
      <c r="I106" s="10">
        <f t="shared" si="5"/>
        <v>0</v>
      </c>
      <c r="J106" s="36">
        <v>5.5</v>
      </c>
      <c r="K106" s="13" t="s">
        <v>121</v>
      </c>
      <c r="L106" s="17">
        <f t="shared" si="14"/>
        <v>0.10000000000000009</v>
      </c>
      <c r="M106" s="14" t="s">
        <v>125</v>
      </c>
      <c r="N106" s="38">
        <v>5.85</v>
      </c>
    </row>
    <row r="107" spans="2:14" ht="18.75" x14ac:dyDescent="0.3">
      <c r="B107" s="54" t="s">
        <v>5</v>
      </c>
      <c r="C107" s="58" t="s">
        <v>308</v>
      </c>
      <c r="D107" s="56" t="s">
        <v>10</v>
      </c>
      <c r="E107" s="62">
        <v>12.5</v>
      </c>
      <c r="F107" s="15">
        <v>12</v>
      </c>
      <c r="G107" s="10">
        <f t="shared" si="13"/>
        <v>4.1666666666666741E-2</v>
      </c>
      <c r="H107" s="36">
        <v>12</v>
      </c>
      <c r="I107" s="10">
        <f t="shared" si="5"/>
        <v>0</v>
      </c>
      <c r="J107" s="36">
        <v>12</v>
      </c>
      <c r="K107" s="13"/>
      <c r="L107" s="17">
        <f t="shared" si="14"/>
        <v>0</v>
      </c>
      <c r="M107" s="14"/>
      <c r="N107" s="38">
        <v>12.75</v>
      </c>
    </row>
    <row r="108" spans="2:14" ht="18.75" x14ac:dyDescent="0.3">
      <c r="B108" s="54" t="s">
        <v>6</v>
      </c>
      <c r="C108" s="55" t="s">
        <v>37</v>
      </c>
      <c r="D108" s="56" t="s">
        <v>10</v>
      </c>
      <c r="E108" s="62">
        <v>10.5</v>
      </c>
      <c r="F108" s="15">
        <v>6</v>
      </c>
      <c r="G108" s="10">
        <f t="shared" si="13"/>
        <v>0.75</v>
      </c>
      <c r="H108" s="36">
        <v>6</v>
      </c>
      <c r="I108" s="10">
        <f t="shared" si="5"/>
        <v>0</v>
      </c>
      <c r="J108" s="36">
        <v>7</v>
      </c>
      <c r="K108" s="13" t="s">
        <v>121</v>
      </c>
      <c r="L108" s="17">
        <f t="shared" si="14"/>
        <v>0.16666666666666674</v>
      </c>
      <c r="M108" s="14" t="s">
        <v>125</v>
      </c>
      <c r="N108" s="38">
        <v>7.5</v>
      </c>
    </row>
    <row r="109" spans="2:14" ht="18.75" x14ac:dyDescent="0.3">
      <c r="B109" s="54" t="s">
        <v>7</v>
      </c>
      <c r="C109" s="55" t="s">
        <v>108</v>
      </c>
      <c r="D109" s="56" t="s">
        <v>9</v>
      </c>
      <c r="E109" s="62">
        <v>7</v>
      </c>
      <c r="F109" s="15">
        <v>16</v>
      </c>
      <c r="G109" s="10">
        <f t="shared" si="13"/>
        <v>-0.5625</v>
      </c>
      <c r="H109" s="36">
        <v>16</v>
      </c>
      <c r="I109" s="10">
        <f t="shared" si="5"/>
        <v>0</v>
      </c>
      <c r="J109" s="36">
        <v>16</v>
      </c>
      <c r="K109" s="13"/>
      <c r="L109" s="17">
        <f t="shared" si="14"/>
        <v>0</v>
      </c>
      <c r="M109" s="14"/>
      <c r="N109" s="38">
        <v>17.2</v>
      </c>
    </row>
    <row r="110" spans="2:14" ht="18.75" x14ac:dyDescent="0.3">
      <c r="B110" s="54" t="s">
        <v>8</v>
      </c>
      <c r="C110" s="55" t="s">
        <v>39</v>
      </c>
      <c r="D110" s="56" t="s">
        <v>10</v>
      </c>
      <c r="E110" s="62">
        <v>6.8</v>
      </c>
      <c r="F110" s="15">
        <v>9</v>
      </c>
      <c r="G110" s="10">
        <f t="shared" si="13"/>
        <v>-0.24444444444444446</v>
      </c>
      <c r="H110" s="36">
        <v>15</v>
      </c>
      <c r="I110" s="10">
        <f t="shared" si="5"/>
        <v>0.66666666666666674</v>
      </c>
      <c r="J110" s="36">
        <v>15</v>
      </c>
      <c r="K110" s="13"/>
      <c r="L110" s="17">
        <f t="shared" si="14"/>
        <v>0.66666666666666674</v>
      </c>
      <c r="M110" s="14"/>
      <c r="N110" s="38">
        <v>16</v>
      </c>
    </row>
    <row r="111" spans="2:14" ht="18.75" x14ac:dyDescent="0.3">
      <c r="B111" s="54" t="s">
        <v>14</v>
      </c>
      <c r="C111" s="55" t="s">
        <v>40</v>
      </c>
      <c r="D111" s="56" t="s">
        <v>10</v>
      </c>
      <c r="E111" s="62">
        <v>4.5999999999999996</v>
      </c>
      <c r="F111" s="15">
        <v>19</v>
      </c>
      <c r="G111" s="10">
        <f t="shared" si="13"/>
        <v>-0.75789473684210529</v>
      </c>
      <c r="H111" s="36">
        <v>21</v>
      </c>
      <c r="I111" s="10">
        <f t="shared" si="5"/>
        <v>0.10526315789473695</v>
      </c>
      <c r="J111" s="36">
        <v>21</v>
      </c>
      <c r="K111" s="13"/>
      <c r="L111" s="17">
        <f t="shared" si="14"/>
        <v>0.10526315789473695</v>
      </c>
      <c r="M111" s="14"/>
      <c r="N111" s="38">
        <v>22.5</v>
      </c>
    </row>
    <row r="112" spans="2:14" ht="15" customHeight="1" x14ac:dyDescent="0.3">
      <c r="B112" s="54" t="s">
        <v>110</v>
      </c>
      <c r="C112" s="55" t="s">
        <v>93</v>
      </c>
      <c r="D112" s="56" t="s">
        <v>10</v>
      </c>
      <c r="E112" s="62">
        <v>8</v>
      </c>
      <c r="F112" s="40"/>
      <c r="G112" s="40"/>
      <c r="H112" s="40"/>
      <c r="I112" s="40"/>
      <c r="J112" s="40"/>
      <c r="K112" s="40"/>
      <c r="L112" s="40"/>
      <c r="M112" s="40"/>
      <c r="N112" s="40"/>
    </row>
    <row r="113" spans="2:14" ht="18.75" x14ac:dyDescent="0.3">
      <c r="B113" s="54" t="s">
        <v>111</v>
      </c>
      <c r="C113" s="55" t="s">
        <v>94</v>
      </c>
      <c r="D113" s="56" t="s">
        <v>10</v>
      </c>
      <c r="E113" s="62">
        <v>5</v>
      </c>
      <c r="F113" s="20">
        <v>15</v>
      </c>
      <c r="G113" s="12">
        <f>E113/F113-1</f>
        <v>-0.66666666666666674</v>
      </c>
      <c r="H113" s="11">
        <v>16</v>
      </c>
      <c r="I113" s="12">
        <f t="shared" si="5"/>
        <v>6.6666666666666652E-2</v>
      </c>
      <c r="J113" s="11">
        <v>16.5</v>
      </c>
      <c r="K113" s="18" t="s">
        <v>121</v>
      </c>
      <c r="L113" s="21">
        <f>J113/F113-1</f>
        <v>0.10000000000000009</v>
      </c>
      <c r="M113" s="19" t="s">
        <v>125</v>
      </c>
      <c r="N113" s="38">
        <v>17.5</v>
      </c>
    </row>
    <row r="114" spans="2:14" ht="18.75" x14ac:dyDescent="0.3">
      <c r="B114" s="54" t="s">
        <v>309</v>
      </c>
      <c r="C114" s="55" t="s">
        <v>46</v>
      </c>
      <c r="D114" s="56" t="s">
        <v>29</v>
      </c>
      <c r="E114" s="62">
        <v>16.8</v>
      </c>
      <c r="F114" s="20">
        <v>13</v>
      </c>
      <c r="G114" s="12">
        <f>E114/F114-1</f>
        <v>0.29230769230769238</v>
      </c>
      <c r="H114" s="11">
        <v>13</v>
      </c>
      <c r="I114" s="12">
        <f t="shared" si="5"/>
        <v>0</v>
      </c>
      <c r="J114" s="11">
        <v>13</v>
      </c>
      <c r="K114" s="18"/>
      <c r="L114" s="21">
        <f>J114/F114-1</f>
        <v>0</v>
      </c>
      <c r="M114" s="19"/>
      <c r="N114" s="38">
        <v>14.3</v>
      </c>
    </row>
    <row r="115" spans="2:14" ht="18.75" x14ac:dyDescent="0.3">
      <c r="B115" s="54" t="s">
        <v>310</v>
      </c>
      <c r="C115" s="55" t="s">
        <v>44</v>
      </c>
      <c r="D115" s="56" t="s">
        <v>9</v>
      </c>
      <c r="E115" s="62">
        <v>6.25</v>
      </c>
      <c r="F115" s="15">
        <v>17</v>
      </c>
      <c r="G115" s="10">
        <f>E115/F115-1</f>
        <v>-0.63235294117647056</v>
      </c>
      <c r="H115" s="22">
        <v>17</v>
      </c>
      <c r="I115" s="10">
        <f t="shared" si="5"/>
        <v>0</v>
      </c>
      <c r="J115" s="22">
        <v>17</v>
      </c>
      <c r="K115" s="13"/>
      <c r="L115" s="17">
        <f>J115/F115-1</f>
        <v>0</v>
      </c>
      <c r="M115" s="14"/>
      <c r="N115" s="38">
        <v>18.75</v>
      </c>
    </row>
    <row r="116" spans="2:14" ht="18.75" x14ac:dyDescent="0.3">
      <c r="B116" s="54" t="s">
        <v>311</v>
      </c>
      <c r="C116" s="55" t="s">
        <v>45</v>
      </c>
      <c r="D116" s="56" t="s">
        <v>9</v>
      </c>
      <c r="E116" s="62">
        <v>14</v>
      </c>
      <c r="F116" s="15">
        <v>20</v>
      </c>
      <c r="G116" s="10">
        <f>E116/F116-1</f>
        <v>-0.30000000000000004</v>
      </c>
      <c r="H116" s="22">
        <v>20</v>
      </c>
      <c r="I116" s="10">
        <f t="shared" si="5"/>
        <v>0</v>
      </c>
      <c r="J116" s="22">
        <v>20</v>
      </c>
      <c r="K116" s="13"/>
      <c r="L116" s="17">
        <f>J116/F116-1</f>
        <v>0</v>
      </c>
      <c r="M116" s="14"/>
      <c r="N116" s="38">
        <v>22.1</v>
      </c>
    </row>
    <row r="117" spans="2:14" ht="15" customHeight="1" x14ac:dyDescent="0.3">
      <c r="B117" s="54" t="s">
        <v>312</v>
      </c>
      <c r="C117" s="55" t="s">
        <v>313</v>
      </c>
      <c r="D117" s="56" t="s">
        <v>29</v>
      </c>
      <c r="E117" s="62">
        <v>22</v>
      </c>
      <c r="F117" s="40"/>
      <c r="G117" s="40"/>
      <c r="H117" s="40"/>
      <c r="I117" s="40"/>
      <c r="J117" s="40"/>
      <c r="K117" s="40"/>
      <c r="L117" s="40"/>
      <c r="M117" s="40"/>
      <c r="N117" s="40"/>
    </row>
    <row r="118" spans="2:14" ht="18.75" x14ac:dyDescent="0.3">
      <c r="B118" s="54" t="s">
        <v>314</v>
      </c>
      <c r="C118" s="55" t="s">
        <v>100</v>
      </c>
      <c r="D118" s="56" t="s">
        <v>77</v>
      </c>
      <c r="E118" s="62">
        <v>40</v>
      </c>
      <c r="F118" s="15">
        <v>50</v>
      </c>
      <c r="G118" s="10">
        <f t="shared" ref="G118:G124" si="15">E118/F118-1</f>
        <v>-0.19999999999999996</v>
      </c>
      <c r="H118" s="22">
        <v>50</v>
      </c>
      <c r="I118" s="10">
        <f t="shared" si="5"/>
        <v>0</v>
      </c>
      <c r="J118" s="22">
        <v>50</v>
      </c>
      <c r="K118" s="13"/>
      <c r="L118" s="17">
        <f t="shared" ref="L118:L124" si="16">J118/F118-1</f>
        <v>0</v>
      </c>
      <c r="M118" s="14"/>
      <c r="N118" s="9">
        <v>55.25</v>
      </c>
    </row>
    <row r="119" spans="2:14" ht="18.75" x14ac:dyDescent="0.3">
      <c r="B119" s="54" t="s">
        <v>315</v>
      </c>
      <c r="C119" s="55" t="s">
        <v>81</v>
      </c>
      <c r="D119" s="56" t="s">
        <v>10</v>
      </c>
      <c r="E119" s="62">
        <v>12.75</v>
      </c>
      <c r="F119" s="15">
        <v>50</v>
      </c>
      <c r="G119" s="10">
        <f t="shared" si="15"/>
        <v>-0.745</v>
      </c>
      <c r="H119" s="22">
        <v>50</v>
      </c>
      <c r="I119" s="10">
        <f t="shared" si="5"/>
        <v>0</v>
      </c>
      <c r="J119" s="22">
        <v>50</v>
      </c>
      <c r="K119" s="13"/>
      <c r="L119" s="17">
        <f t="shared" si="16"/>
        <v>0</v>
      </c>
      <c r="M119" s="14"/>
      <c r="N119" s="9">
        <v>55.25</v>
      </c>
    </row>
    <row r="120" spans="2:14" ht="18.75" x14ac:dyDescent="0.3">
      <c r="B120" s="54" t="s">
        <v>316</v>
      </c>
      <c r="C120" s="55" t="s">
        <v>317</v>
      </c>
      <c r="D120" s="56" t="s">
        <v>29</v>
      </c>
      <c r="E120" s="60">
        <v>15.5</v>
      </c>
      <c r="F120" s="15">
        <v>65</v>
      </c>
      <c r="G120" s="10">
        <f t="shared" si="15"/>
        <v>-0.7615384615384615</v>
      </c>
      <c r="H120" s="22">
        <v>65</v>
      </c>
      <c r="I120" s="10">
        <f t="shared" si="5"/>
        <v>0</v>
      </c>
      <c r="J120" s="22">
        <v>65</v>
      </c>
      <c r="K120" s="13"/>
      <c r="L120" s="17">
        <f t="shared" si="16"/>
        <v>0</v>
      </c>
      <c r="M120" s="14"/>
      <c r="N120" s="9">
        <v>71.849999999999994</v>
      </c>
    </row>
    <row r="121" spans="2:14" ht="18.75" x14ac:dyDescent="0.3">
      <c r="B121" s="54" t="s">
        <v>318</v>
      </c>
      <c r="C121" s="55" t="s">
        <v>319</v>
      </c>
      <c r="D121" s="56" t="s">
        <v>29</v>
      </c>
      <c r="E121" s="60">
        <v>15.5</v>
      </c>
      <c r="F121" s="15">
        <v>55</v>
      </c>
      <c r="G121" s="10">
        <f t="shared" si="15"/>
        <v>-0.71818181818181825</v>
      </c>
      <c r="H121" s="22">
        <v>55</v>
      </c>
      <c r="I121" s="10">
        <f t="shared" si="5"/>
        <v>0</v>
      </c>
      <c r="J121" s="22">
        <v>55</v>
      </c>
      <c r="K121" s="13"/>
      <c r="L121" s="17">
        <f t="shared" si="16"/>
        <v>0</v>
      </c>
      <c r="M121" s="14"/>
      <c r="N121" s="9">
        <v>60.75</v>
      </c>
    </row>
    <row r="122" spans="2:14" ht="18.75" x14ac:dyDescent="0.3">
      <c r="B122" s="54" t="s">
        <v>320</v>
      </c>
      <c r="C122" s="55" t="s">
        <v>82</v>
      </c>
      <c r="D122" s="56" t="s">
        <v>10</v>
      </c>
      <c r="E122" s="62">
        <v>16.5</v>
      </c>
      <c r="F122" s="20">
        <v>60</v>
      </c>
      <c r="G122" s="12">
        <f t="shared" si="15"/>
        <v>-0.72499999999999998</v>
      </c>
      <c r="H122" s="11">
        <v>60</v>
      </c>
      <c r="I122" s="12">
        <f t="shared" si="5"/>
        <v>0</v>
      </c>
      <c r="J122" s="11">
        <v>60</v>
      </c>
      <c r="K122" s="18"/>
      <c r="L122" s="21">
        <f t="shared" si="16"/>
        <v>0</v>
      </c>
      <c r="M122" s="19"/>
      <c r="N122" s="38">
        <v>64.5</v>
      </c>
    </row>
    <row r="123" spans="2:14" ht="18.75" x14ac:dyDescent="0.3">
      <c r="B123" s="54" t="s">
        <v>321</v>
      </c>
      <c r="C123" s="55" t="s">
        <v>57</v>
      </c>
      <c r="D123" s="56" t="s">
        <v>10</v>
      </c>
      <c r="E123" s="62">
        <v>8.5</v>
      </c>
      <c r="F123" s="20">
        <v>65</v>
      </c>
      <c r="G123" s="12">
        <f t="shared" si="15"/>
        <v>-0.86923076923076925</v>
      </c>
      <c r="H123" s="11">
        <v>65</v>
      </c>
      <c r="I123" s="12">
        <f t="shared" si="5"/>
        <v>0</v>
      </c>
      <c r="J123" s="11">
        <v>65</v>
      </c>
      <c r="K123" s="18"/>
      <c r="L123" s="21">
        <f t="shared" si="16"/>
        <v>0</v>
      </c>
      <c r="M123" s="19"/>
      <c r="N123" s="38">
        <v>69.5</v>
      </c>
    </row>
    <row r="124" spans="2:14" ht="18.75" x14ac:dyDescent="0.3">
      <c r="B124" s="54" t="s">
        <v>322</v>
      </c>
      <c r="C124" s="55" t="s">
        <v>323</v>
      </c>
      <c r="D124" s="56" t="s">
        <v>29</v>
      </c>
      <c r="E124" s="60">
        <v>15.5</v>
      </c>
      <c r="F124" s="20">
        <v>65</v>
      </c>
      <c r="G124" s="12">
        <f t="shared" si="15"/>
        <v>-0.7615384615384615</v>
      </c>
      <c r="H124" s="11">
        <v>65</v>
      </c>
      <c r="I124" s="12">
        <f t="shared" si="5"/>
        <v>0</v>
      </c>
      <c r="J124" s="11">
        <v>65</v>
      </c>
      <c r="K124" s="18"/>
      <c r="L124" s="21">
        <f t="shared" si="16"/>
        <v>0</v>
      </c>
      <c r="M124" s="19"/>
      <c r="N124" s="38">
        <v>69.5</v>
      </c>
    </row>
    <row r="125" spans="2:14" ht="15" customHeight="1" x14ac:dyDescent="0.3">
      <c r="B125" s="54" t="s">
        <v>324</v>
      </c>
      <c r="C125" s="55" t="s">
        <v>325</v>
      </c>
      <c r="D125" s="56" t="s">
        <v>9</v>
      </c>
      <c r="E125" s="60">
        <v>3</v>
      </c>
      <c r="F125" s="40"/>
      <c r="G125" s="40"/>
      <c r="H125" s="40"/>
      <c r="I125" s="40"/>
      <c r="J125" s="40"/>
      <c r="K125" s="40"/>
      <c r="L125" s="40"/>
      <c r="M125" s="40"/>
      <c r="N125" s="40"/>
    </row>
    <row r="126" spans="2:14" ht="18.75" x14ac:dyDescent="0.3">
      <c r="B126" s="54" t="s">
        <v>326</v>
      </c>
      <c r="C126" s="55" t="s">
        <v>113</v>
      </c>
      <c r="D126" s="56" t="s">
        <v>9</v>
      </c>
      <c r="E126" s="62">
        <v>9.5</v>
      </c>
      <c r="F126" s="20">
        <v>93</v>
      </c>
      <c r="G126" s="12">
        <f>E126/F126-1</f>
        <v>-0.89784946236559138</v>
      </c>
      <c r="H126" s="11">
        <v>93</v>
      </c>
      <c r="I126" s="12">
        <f t="shared" si="5"/>
        <v>0</v>
      </c>
      <c r="J126" s="11">
        <v>93</v>
      </c>
      <c r="K126" s="18"/>
      <c r="L126" s="21">
        <f>J126/F126-1</f>
        <v>0</v>
      </c>
      <c r="M126" s="19"/>
      <c r="N126" s="38">
        <v>99</v>
      </c>
    </row>
    <row r="127" spans="2:14" ht="18.75" x14ac:dyDescent="0.3">
      <c r="B127" s="54" t="s">
        <v>327</v>
      </c>
      <c r="C127" s="55" t="s">
        <v>41</v>
      </c>
      <c r="D127" s="56" t="s">
        <v>10</v>
      </c>
      <c r="E127" s="62">
        <v>16.5</v>
      </c>
      <c r="F127" s="20">
        <v>108</v>
      </c>
      <c r="G127" s="12">
        <f>E127/F127-1</f>
        <v>-0.84722222222222221</v>
      </c>
      <c r="H127" s="11">
        <v>108</v>
      </c>
      <c r="I127" s="12">
        <f t="shared" si="5"/>
        <v>0</v>
      </c>
      <c r="J127" s="11">
        <v>108</v>
      </c>
      <c r="K127" s="18"/>
      <c r="L127" s="21">
        <f>J127/F127-1</f>
        <v>0</v>
      </c>
      <c r="M127" s="19"/>
      <c r="N127" s="38">
        <v>115</v>
      </c>
    </row>
    <row r="128" spans="2:14" ht="18.75" x14ac:dyDescent="0.3">
      <c r="B128" s="54" t="s">
        <v>328</v>
      </c>
      <c r="C128" s="55" t="s">
        <v>34</v>
      </c>
      <c r="D128" s="56" t="s">
        <v>29</v>
      </c>
      <c r="E128" s="62">
        <v>65</v>
      </c>
      <c r="F128" s="20">
        <v>108</v>
      </c>
      <c r="G128" s="12">
        <f>E128/F128-1</f>
        <v>-0.39814814814814814</v>
      </c>
      <c r="H128" s="11">
        <v>108</v>
      </c>
      <c r="I128" s="12">
        <f t="shared" si="5"/>
        <v>0</v>
      </c>
      <c r="J128" s="11">
        <v>108</v>
      </c>
      <c r="K128" s="18"/>
      <c r="L128" s="21">
        <f>J128/F128-1</f>
        <v>0</v>
      </c>
      <c r="M128" s="19"/>
      <c r="N128" s="38">
        <v>115</v>
      </c>
    </row>
    <row r="129" spans="2:14" ht="18.75" x14ac:dyDescent="0.3">
      <c r="B129" s="54" t="s">
        <v>329</v>
      </c>
      <c r="C129" s="55" t="s">
        <v>28</v>
      </c>
      <c r="D129" s="56" t="s">
        <v>29</v>
      </c>
      <c r="E129" s="62">
        <v>55</v>
      </c>
      <c r="F129" s="20">
        <v>79</v>
      </c>
      <c r="G129" s="12">
        <f>E129/F129-1</f>
        <v>-0.30379746835443033</v>
      </c>
      <c r="H129" s="11">
        <v>79</v>
      </c>
      <c r="I129" s="12">
        <f t="shared" si="5"/>
        <v>0</v>
      </c>
      <c r="J129" s="11">
        <v>79</v>
      </c>
      <c r="K129" s="18"/>
      <c r="L129" s="21">
        <f>J129/F129-1</f>
        <v>0</v>
      </c>
      <c r="M129" s="19"/>
      <c r="N129" s="38">
        <v>84.2</v>
      </c>
    </row>
    <row r="130" spans="2:14" ht="18.75" x14ac:dyDescent="0.3">
      <c r="B130" s="54" t="s">
        <v>330</v>
      </c>
      <c r="C130" s="55" t="s">
        <v>86</v>
      </c>
      <c r="D130" s="56" t="s">
        <v>9</v>
      </c>
      <c r="E130" s="62">
        <v>47.5</v>
      </c>
      <c r="F130" s="20">
        <v>65</v>
      </c>
      <c r="G130" s="12">
        <f>E130/F130-1</f>
        <v>-0.26923076923076927</v>
      </c>
      <c r="H130" s="11">
        <v>65</v>
      </c>
      <c r="I130" s="12">
        <f t="shared" si="5"/>
        <v>0</v>
      </c>
      <c r="J130" s="11">
        <v>65</v>
      </c>
      <c r="K130" s="18"/>
      <c r="L130" s="21">
        <f>J130/F130-1</f>
        <v>0</v>
      </c>
      <c r="M130" s="19"/>
      <c r="N130" s="38">
        <v>69</v>
      </c>
    </row>
    <row r="131" spans="2:14" ht="15" customHeight="1" x14ac:dyDescent="0.3">
      <c r="B131" s="54" t="s">
        <v>331</v>
      </c>
      <c r="C131" s="55" t="s">
        <v>84</v>
      </c>
      <c r="D131" s="56" t="s">
        <v>9</v>
      </c>
      <c r="E131" s="62">
        <v>37.5</v>
      </c>
      <c r="F131" s="40"/>
      <c r="G131" s="40"/>
      <c r="H131" s="40"/>
      <c r="I131" s="40"/>
      <c r="J131" s="40"/>
      <c r="K131" s="40"/>
      <c r="L131" s="40"/>
      <c r="M131" s="40"/>
      <c r="N131" s="40"/>
    </row>
    <row r="132" spans="2:14" ht="18.75" x14ac:dyDescent="0.3">
      <c r="B132" s="54" t="s">
        <v>332</v>
      </c>
      <c r="C132" s="55" t="s">
        <v>32</v>
      </c>
      <c r="D132" s="56" t="s">
        <v>9</v>
      </c>
      <c r="E132" s="62">
        <v>100</v>
      </c>
      <c r="F132" s="15">
        <v>65</v>
      </c>
      <c r="G132" s="10">
        <f>E132/F132-1</f>
        <v>0.53846153846153855</v>
      </c>
      <c r="H132" s="22">
        <v>65</v>
      </c>
      <c r="I132" s="10">
        <f t="shared" si="5"/>
        <v>0</v>
      </c>
      <c r="J132" s="22">
        <v>65</v>
      </c>
      <c r="K132" s="13"/>
      <c r="L132" s="17">
        <f>J132/F132-1</f>
        <v>0</v>
      </c>
      <c r="M132" s="14"/>
      <c r="N132" s="38">
        <v>69.55</v>
      </c>
    </row>
    <row r="133" spans="2:14" ht="18.75" x14ac:dyDescent="0.3">
      <c r="B133" s="54" t="s">
        <v>333</v>
      </c>
      <c r="C133" s="55" t="s">
        <v>33</v>
      </c>
      <c r="D133" s="60" t="s">
        <v>9</v>
      </c>
      <c r="E133" s="62">
        <v>135</v>
      </c>
      <c r="F133" s="15">
        <v>55</v>
      </c>
      <c r="G133" s="10">
        <f>E133/F133-1</f>
        <v>1.4545454545454546</v>
      </c>
      <c r="H133" s="22">
        <v>55</v>
      </c>
      <c r="I133" s="10">
        <f t="shared" si="5"/>
        <v>0</v>
      </c>
      <c r="J133" s="22">
        <v>55</v>
      </c>
      <c r="K133" s="13"/>
      <c r="L133" s="17">
        <f>J133/F133-1</f>
        <v>0</v>
      </c>
      <c r="M133" s="14"/>
      <c r="N133" s="38">
        <v>58.85</v>
      </c>
    </row>
    <row r="134" spans="2:14" ht="18.75" x14ac:dyDescent="0.3">
      <c r="B134" s="54" t="s">
        <v>334</v>
      </c>
      <c r="C134" s="55" t="s">
        <v>85</v>
      </c>
      <c r="D134" s="56" t="s">
        <v>9</v>
      </c>
      <c r="E134" s="62">
        <v>36.5</v>
      </c>
      <c r="F134" s="15">
        <v>45</v>
      </c>
      <c r="G134" s="10">
        <f>E134/F134-1</f>
        <v>-0.18888888888888888</v>
      </c>
      <c r="H134" s="16">
        <v>45</v>
      </c>
      <c r="I134" s="10">
        <f t="shared" si="5"/>
        <v>0</v>
      </c>
      <c r="J134" s="22">
        <v>45</v>
      </c>
      <c r="K134" s="13"/>
      <c r="L134" s="17">
        <f>J134/F134-1</f>
        <v>0</v>
      </c>
      <c r="M134" s="14"/>
      <c r="N134" s="38">
        <v>48.150000000000006</v>
      </c>
    </row>
    <row r="135" spans="2:14" ht="15" customHeight="1" x14ac:dyDescent="0.3">
      <c r="B135" s="54" t="s">
        <v>335</v>
      </c>
      <c r="C135" s="55" t="s">
        <v>27</v>
      </c>
      <c r="D135" s="56" t="s">
        <v>9</v>
      </c>
      <c r="E135" s="62">
        <v>52.5</v>
      </c>
      <c r="F135" s="40"/>
      <c r="G135" s="40"/>
      <c r="H135" s="40"/>
      <c r="I135" s="40"/>
      <c r="J135" s="40"/>
      <c r="K135" s="40"/>
      <c r="L135" s="40"/>
      <c r="M135" s="40"/>
      <c r="N135" s="40"/>
    </row>
    <row r="136" spans="2:14" ht="18.75" x14ac:dyDescent="0.3">
      <c r="B136" s="54" t="s">
        <v>336</v>
      </c>
      <c r="C136" s="55" t="s">
        <v>25</v>
      </c>
      <c r="D136" s="56" t="s">
        <v>9</v>
      </c>
      <c r="E136" s="62">
        <v>42.5</v>
      </c>
      <c r="F136" s="20">
        <v>60</v>
      </c>
      <c r="G136" s="12">
        <f>E136/F136-1</f>
        <v>-0.29166666666666663</v>
      </c>
      <c r="H136" s="11">
        <v>60</v>
      </c>
      <c r="I136" s="12">
        <f t="shared" ref="I136:I168" si="17">H136/F136-1</f>
        <v>0</v>
      </c>
      <c r="J136" s="11">
        <v>60</v>
      </c>
      <c r="K136" s="18"/>
      <c r="L136" s="21">
        <f>J136/F136-1</f>
        <v>0</v>
      </c>
      <c r="M136" s="19"/>
      <c r="N136" s="38">
        <v>66</v>
      </c>
    </row>
    <row r="137" spans="2:14" ht="18.75" x14ac:dyDescent="0.3">
      <c r="B137" s="54" t="s">
        <v>337</v>
      </c>
      <c r="C137" s="55" t="s">
        <v>87</v>
      </c>
      <c r="D137" s="56" t="s">
        <v>9</v>
      </c>
      <c r="E137" s="62">
        <v>42.5</v>
      </c>
      <c r="F137" s="20">
        <v>50</v>
      </c>
      <c r="G137" s="12">
        <f>E137/F137-1</f>
        <v>-0.15000000000000002</v>
      </c>
      <c r="H137" s="11">
        <v>50</v>
      </c>
      <c r="I137" s="12">
        <f t="shared" si="17"/>
        <v>0</v>
      </c>
      <c r="J137" s="11">
        <v>50</v>
      </c>
      <c r="K137" s="18"/>
      <c r="L137" s="21">
        <f>J137/F137-1</f>
        <v>0</v>
      </c>
      <c r="M137" s="19"/>
      <c r="N137" s="38">
        <v>55</v>
      </c>
    </row>
    <row r="138" spans="2:14" ht="18.75" x14ac:dyDescent="0.3">
      <c r="B138" s="54" t="s">
        <v>338</v>
      </c>
      <c r="C138" s="55" t="s">
        <v>88</v>
      </c>
      <c r="D138" s="56" t="s">
        <v>9</v>
      </c>
      <c r="E138" s="62">
        <v>46.5</v>
      </c>
      <c r="F138" s="20">
        <v>45</v>
      </c>
      <c r="G138" s="12">
        <f>E138/F138-1</f>
        <v>3.3333333333333437E-2</v>
      </c>
      <c r="H138" s="11">
        <v>45</v>
      </c>
      <c r="I138" s="12">
        <f t="shared" si="17"/>
        <v>0</v>
      </c>
      <c r="J138" s="11">
        <v>45</v>
      </c>
      <c r="K138" s="18"/>
      <c r="L138" s="21">
        <f>J138/F138-1</f>
        <v>0</v>
      </c>
      <c r="M138" s="19"/>
      <c r="N138" s="38">
        <v>49.5</v>
      </c>
    </row>
    <row r="139" spans="2:14" ht="18.75" x14ac:dyDescent="0.3">
      <c r="B139" s="54" t="s">
        <v>339</v>
      </c>
      <c r="C139" s="55" t="s">
        <v>26</v>
      </c>
      <c r="D139" s="56" t="s">
        <v>9</v>
      </c>
      <c r="E139" s="62">
        <v>46.5</v>
      </c>
      <c r="F139" s="20">
        <v>45</v>
      </c>
      <c r="G139" s="12">
        <f>E139/F139-1</f>
        <v>3.3333333333333437E-2</v>
      </c>
      <c r="H139" s="11">
        <v>45</v>
      </c>
      <c r="I139" s="12">
        <f t="shared" si="17"/>
        <v>0</v>
      </c>
      <c r="J139" s="11">
        <v>45</v>
      </c>
      <c r="K139" s="18"/>
      <c r="L139" s="21">
        <f>J139/F139-1</f>
        <v>0</v>
      </c>
      <c r="M139" s="19"/>
      <c r="N139" s="38">
        <v>49.5</v>
      </c>
    </row>
    <row r="140" spans="2:14" ht="15" customHeight="1" x14ac:dyDescent="0.3">
      <c r="B140" s="54" t="s">
        <v>340</v>
      </c>
      <c r="C140" s="55" t="s">
        <v>30</v>
      </c>
      <c r="D140" s="56" t="s">
        <v>29</v>
      </c>
      <c r="E140" s="62">
        <v>65</v>
      </c>
      <c r="F140" s="40"/>
      <c r="G140" s="40"/>
      <c r="H140" s="40"/>
      <c r="I140" s="40"/>
      <c r="J140" s="40"/>
      <c r="K140" s="40"/>
      <c r="L140" s="40"/>
      <c r="M140" s="40"/>
      <c r="N140" s="40"/>
    </row>
    <row r="141" spans="2:14" ht="18.75" x14ac:dyDescent="0.3">
      <c r="B141" s="54" t="s">
        <v>341</v>
      </c>
      <c r="C141" s="55" t="s">
        <v>114</v>
      </c>
      <c r="D141" s="56" t="s">
        <v>29</v>
      </c>
      <c r="E141" s="62">
        <v>60</v>
      </c>
      <c r="F141" s="15">
        <v>40</v>
      </c>
      <c r="G141" s="10">
        <f>E141/F141-1</f>
        <v>0.5</v>
      </c>
      <c r="H141" s="22">
        <v>50</v>
      </c>
      <c r="I141" s="10">
        <f t="shared" si="17"/>
        <v>0.25</v>
      </c>
      <c r="J141" s="22">
        <v>50</v>
      </c>
      <c r="K141" s="13"/>
      <c r="L141" s="17">
        <f>J141/F141-1</f>
        <v>0.25</v>
      </c>
      <c r="M141" s="14"/>
      <c r="N141" s="9">
        <v>55.25</v>
      </c>
    </row>
    <row r="142" spans="2:14" ht="18.75" x14ac:dyDescent="0.3">
      <c r="B142" s="54" t="s">
        <v>342</v>
      </c>
      <c r="C142" s="55" t="s">
        <v>31</v>
      </c>
      <c r="D142" s="56" t="s">
        <v>29</v>
      </c>
      <c r="E142" s="62">
        <v>42.5</v>
      </c>
      <c r="F142" s="15">
        <v>40</v>
      </c>
      <c r="G142" s="10">
        <f>E142/F142-1</f>
        <v>6.25E-2</v>
      </c>
      <c r="H142" s="22">
        <v>45</v>
      </c>
      <c r="I142" s="10">
        <f t="shared" si="17"/>
        <v>0.125</v>
      </c>
      <c r="J142" s="22">
        <v>45</v>
      </c>
      <c r="K142" s="13"/>
      <c r="L142" s="17">
        <f>J142/F142-1</f>
        <v>0.125</v>
      </c>
      <c r="M142" s="14"/>
      <c r="N142" s="9">
        <v>49.75</v>
      </c>
    </row>
    <row r="143" spans="2:14" ht="18.75" x14ac:dyDescent="0.3">
      <c r="B143" s="54" t="s">
        <v>343</v>
      </c>
      <c r="C143" s="55" t="s">
        <v>36</v>
      </c>
      <c r="D143" s="56" t="s">
        <v>29</v>
      </c>
      <c r="E143" s="62">
        <v>75</v>
      </c>
      <c r="F143" s="15">
        <v>40</v>
      </c>
      <c r="G143" s="10">
        <f>E143/F143-1</f>
        <v>0.875</v>
      </c>
      <c r="H143" s="16">
        <v>47.5</v>
      </c>
      <c r="I143" s="10">
        <f t="shared" si="17"/>
        <v>0.1875</v>
      </c>
      <c r="J143" s="22">
        <v>47.5</v>
      </c>
      <c r="K143" s="13"/>
      <c r="L143" s="17">
        <f>J143/F143-1</f>
        <v>0.1875</v>
      </c>
      <c r="M143" s="14"/>
      <c r="N143" s="9">
        <v>52.25</v>
      </c>
    </row>
    <row r="144" spans="2:14" x14ac:dyDescent="0.2">
      <c r="B144" s="13" t="s">
        <v>47</v>
      </c>
      <c r="C144" s="14" t="s">
        <v>98</v>
      </c>
      <c r="D144" s="13" t="s">
        <v>10</v>
      </c>
      <c r="E144" s="32">
        <v>45</v>
      </c>
      <c r="F144" s="15">
        <v>40</v>
      </c>
      <c r="G144" s="10">
        <f>E144/F144-1</f>
        <v>0.125</v>
      </c>
      <c r="H144" s="16">
        <v>42.5</v>
      </c>
      <c r="I144" s="10">
        <f t="shared" si="17"/>
        <v>6.25E-2</v>
      </c>
      <c r="J144" s="22">
        <v>42.5</v>
      </c>
      <c r="K144" s="13"/>
      <c r="L144" s="17">
        <f>J144/F144-1</f>
        <v>6.25E-2</v>
      </c>
      <c r="M144" s="14"/>
      <c r="N144" s="9">
        <v>46.75</v>
      </c>
    </row>
    <row r="145" spans="2:14" x14ac:dyDescent="0.2">
      <c r="B145" s="13" t="s">
        <v>48</v>
      </c>
      <c r="C145" s="14" t="s">
        <v>99</v>
      </c>
      <c r="D145" s="13" t="s">
        <v>10</v>
      </c>
      <c r="E145" s="32">
        <v>35</v>
      </c>
      <c r="F145" s="15">
        <v>35</v>
      </c>
      <c r="G145" s="10">
        <f>E145/F145-1</f>
        <v>0</v>
      </c>
      <c r="H145" s="22">
        <v>35</v>
      </c>
      <c r="I145" s="10">
        <f t="shared" si="17"/>
        <v>0</v>
      </c>
      <c r="J145" s="22">
        <v>35</v>
      </c>
      <c r="K145" s="13"/>
      <c r="L145" s="17">
        <f>J145/F145-1</f>
        <v>0</v>
      </c>
      <c r="M145" s="14"/>
      <c r="N145" s="9">
        <v>38.65</v>
      </c>
    </row>
    <row r="146" spans="2:14" x14ac:dyDescent="0.2">
      <c r="B146" s="13" t="s">
        <v>138</v>
      </c>
      <c r="C146" s="41" t="s">
        <v>139</v>
      </c>
      <c r="D146" s="42" t="s">
        <v>10</v>
      </c>
      <c r="E146" s="49"/>
      <c r="F146" s="43"/>
      <c r="G146" s="44"/>
      <c r="H146" s="50"/>
      <c r="I146" s="44"/>
      <c r="J146" s="50"/>
      <c r="K146" s="42"/>
      <c r="L146" s="47"/>
      <c r="M146" s="41"/>
      <c r="N146" s="46"/>
    </row>
    <row r="147" spans="2:14" ht="15" customHeight="1" x14ac:dyDescent="0.2">
      <c r="B147" s="39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</row>
    <row r="148" spans="2:14" x14ac:dyDescent="0.2">
      <c r="B148" s="13" t="s">
        <v>49</v>
      </c>
      <c r="C148" s="14" t="s">
        <v>54</v>
      </c>
      <c r="D148" s="13" t="s">
        <v>10</v>
      </c>
      <c r="E148" s="32">
        <v>8.5</v>
      </c>
      <c r="F148" s="15">
        <v>7.5</v>
      </c>
      <c r="G148" s="10">
        <f>E148/F148-1</f>
        <v>0.1333333333333333</v>
      </c>
      <c r="H148" s="16">
        <v>8</v>
      </c>
      <c r="I148" s="10">
        <f t="shared" si="17"/>
        <v>6.6666666666666652E-2</v>
      </c>
      <c r="J148" s="22">
        <v>8</v>
      </c>
      <c r="K148" s="13"/>
      <c r="L148" s="17">
        <f>J148/F148-1</f>
        <v>6.6666666666666652E-2</v>
      </c>
      <c r="M148" s="14"/>
      <c r="N148" s="38">
        <v>8.5500000000000007</v>
      </c>
    </row>
    <row r="149" spans="2:14" x14ac:dyDescent="0.2">
      <c r="B149" s="13" t="s">
        <v>50</v>
      </c>
      <c r="C149" s="14" t="s">
        <v>55</v>
      </c>
      <c r="D149" s="13" t="s">
        <v>10</v>
      </c>
      <c r="E149" s="32">
        <v>25</v>
      </c>
      <c r="F149" s="15">
        <v>25</v>
      </c>
      <c r="G149" s="10">
        <f>E149/F149-1</f>
        <v>0</v>
      </c>
      <c r="H149" s="22">
        <v>25</v>
      </c>
      <c r="I149" s="10">
        <f t="shared" si="17"/>
        <v>0</v>
      </c>
      <c r="J149" s="22">
        <v>25</v>
      </c>
      <c r="K149" s="13"/>
      <c r="L149" s="17">
        <f>J149/F149-1</f>
        <v>0</v>
      </c>
      <c r="M149" s="14"/>
      <c r="N149" s="9">
        <v>27.5</v>
      </c>
    </row>
    <row r="150" spans="2:14" x14ac:dyDescent="0.2">
      <c r="B150" s="13" t="s">
        <v>51</v>
      </c>
      <c r="C150" s="33" t="s">
        <v>56</v>
      </c>
      <c r="D150" s="13" t="s">
        <v>10</v>
      </c>
      <c r="E150" s="32">
        <v>35</v>
      </c>
      <c r="F150" s="15">
        <v>30</v>
      </c>
      <c r="G150" s="10">
        <f>E150/F150-1</f>
        <v>0.16666666666666674</v>
      </c>
      <c r="H150" s="16">
        <v>30</v>
      </c>
      <c r="I150" s="10">
        <f t="shared" si="17"/>
        <v>0</v>
      </c>
      <c r="J150" s="9">
        <v>35</v>
      </c>
      <c r="K150" s="13" t="s">
        <v>121</v>
      </c>
      <c r="L150" s="17">
        <f>J150/F150-1</f>
        <v>0.16666666666666674</v>
      </c>
      <c r="M150" s="14" t="s">
        <v>126</v>
      </c>
      <c r="N150" s="38">
        <v>34</v>
      </c>
    </row>
    <row r="151" spans="2:14" x14ac:dyDescent="0.2">
      <c r="B151" s="13" t="s">
        <v>52</v>
      </c>
      <c r="C151" s="14" t="s">
        <v>57</v>
      </c>
      <c r="D151" s="13" t="s">
        <v>10</v>
      </c>
      <c r="E151" s="32">
        <v>10</v>
      </c>
      <c r="F151" s="15">
        <v>9</v>
      </c>
      <c r="G151" s="10">
        <f>E151/F151-1</f>
        <v>0.11111111111111116</v>
      </c>
      <c r="H151" s="16">
        <v>9.5</v>
      </c>
      <c r="I151" s="10">
        <f t="shared" si="17"/>
        <v>5.555555555555558E-2</v>
      </c>
      <c r="J151" s="9">
        <v>9.9</v>
      </c>
      <c r="K151" s="13" t="s">
        <v>121</v>
      </c>
      <c r="L151" s="17">
        <f>J151/F151-1</f>
        <v>0.10000000000000009</v>
      </c>
      <c r="M151" s="14" t="s">
        <v>125</v>
      </c>
      <c r="N151" s="38">
        <v>10.5</v>
      </c>
    </row>
    <row r="152" spans="2:14" x14ac:dyDescent="0.2">
      <c r="B152" s="13" t="s">
        <v>53</v>
      </c>
      <c r="C152" s="14" t="s">
        <v>109</v>
      </c>
      <c r="D152" s="13" t="s">
        <v>10</v>
      </c>
      <c r="E152" s="32">
        <v>25</v>
      </c>
      <c r="F152" s="53" t="s">
        <v>115</v>
      </c>
      <c r="G152" s="53"/>
      <c r="H152" s="22">
        <v>25</v>
      </c>
      <c r="I152" s="10"/>
      <c r="J152" s="22">
        <v>25</v>
      </c>
      <c r="K152" s="13"/>
      <c r="L152" s="17"/>
      <c r="M152" s="14"/>
      <c r="N152" s="38">
        <v>27.5</v>
      </c>
    </row>
    <row r="153" spans="2:14" ht="15" customHeight="1" x14ac:dyDescent="0.2">
      <c r="B153" s="39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</row>
    <row r="154" spans="2:14" x14ac:dyDescent="0.2">
      <c r="B154" s="13" t="s">
        <v>58</v>
      </c>
      <c r="C154" s="14" t="s">
        <v>59</v>
      </c>
      <c r="D154" s="13" t="s">
        <v>60</v>
      </c>
      <c r="E154" s="15">
        <v>15.5</v>
      </c>
      <c r="F154" s="15">
        <v>14</v>
      </c>
      <c r="G154" s="10">
        <f t="shared" ref="G154:G159" si="18">E154/F154-1</f>
        <v>0.10714285714285721</v>
      </c>
      <c r="H154" s="16">
        <v>15</v>
      </c>
      <c r="I154" s="10">
        <f t="shared" si="17"/>
        <v>7.1428571428571397E-2</v>
      </c>
      <c r="J154" s="9">
        <v>15.5</v>
      </c>
      <c r="K154" s="13" t="s">
        <v>121</v>
      </c>
      <c r="L154" s="17">
        <f t="shared" ref="L154:L159" si="19">J154/F154-1</f>
        <v>0.10714285714285721</v>
      </c>
      <c r="M154" s="14"/>
      <c r="N154" s="38">
        <v>16.75</v>
      </c>
    </row>
    <row r="155" spans="2:14" x14ac:dyDescent="0.2">
      <c r="B155" s="13" t="s">
        <v>61</v>
      </c>
      <c r="C155" s="14" t="s">
        <v>66</v>
      </c>
      <c r="D155" s="13" t="s">
        <v>60</v>
      </c>
      <c r="E155" s="15">
        <v>15.5</v>
      </c>
      <c r="F155" s="15">
        <v>14</v>
      </c>
      <c r="G155" s="10">
        <f t="shared" si="18"/>
        <v>0.10714285714285721</v>
      </c>
      <c r="H155" s="16">
        <v>15</v>
      </c>
      <c r="I155" s="10">
        <f t="shared" si="17"/>
        <v>7.1428571428571397E-2</v>
      </c>
      <c r="J155" s="9">
        <v>15.5</v>
      </c>
      <c r="K155" s="13" t="s">
        <v>121</v>
      </c>
      <c r="L155" s="17">
        <f t="shared" si="19"/>
        <v>0.10714285714285721</v>
      </c>
      <c r="M155" s="14"/>
      <c r="N155" s="38">
        <v>16.75</v>
      </c>
    </row>
    <row r="156" spans="2:14" x14ac:dyDescent="0.2">
      <c r="B156" s="13" t="s">
        <v>62</v>
      </c>
      <c r="C156" s="14" t="s">
        <v>67</v>
      </c>
      <c r="D156" s="13" t="s">
        <v>60</v>
      </c>
      <c r="E156" s="15">
        <v>16</v>
      </c>
      <c r="F156" s="15">
        <v>15</v>
      </c>
      <c r="G156" s="10">
        <f t="shared" si="18"/>
        <v>6.6666666666666652E-2</v>
      </c>
      <c r="H156" s="22">
        <v>16</v>
      </c>
      <c r="I156" s="10">
        <f t="shared" si="17"/>
        <v>6.6666666666666652E-2</v>
      </c>
      <c r="J156" s="22">
        <v>16</v>
      </c>
      <c r="K156" s="13"/>
      <c r="L156" s="17">
        <f t="shared" si="19"/>
        <v>6.6666666666666652E-2</v>
      </c>
      <c r="M156" s="14"/>
      <c r="N156" s="38">
        <v>17.3</v>
      </c>
    </row>
    <row r="157" spans="2:14" x14ac:dyDescent="0.2">
      <c r="B157" s="13" t="s">
        <v>63</v>
      </c>
      <c r="C157" s="14" t="s">
        <v>68</v>
      </c>
      <c r="D157" s="13" t="s">
        <v>60</v>
      </c>
      <c r="E157" s="15">
        <v>15.5</v>
      </c>
      <c r="F157" s="15">
        <v>14</v>
      </c>
      <c r="G157" s="10">
        <f t="shared" si="18"/>
        <v>0.10714285714285721</v>
      </c>
      <c r="H157" s="22">
        <v>15.5</v>
      </c>
      <c r="I157" s="10">
        <f t="shared" si="17"/>
        <v>0.10714285714285721</v>
      </c>
      <c r="J157" s="22">
        <v>15.5</v>
      </c>
      <c r="K157" s="13"/>
      <c r="L157" s="17">
        <f t="shared" si="19"/>
        <v>0.10714285714285721</v>
      </c>
      <c r="M157" s="14"/>
      <c r="N157" s="38">
        <v>16.75</v>
      </c>
    </row>
    <row r="158" spans="2:14" x14ac:dyDescent="0.2">
      <c r="B158" s="13" t="s">
        <v>64</v>
      </c>
      <c r="C158" s="14" t="s">
        <v>69</v>
      </c>
      <c r="D158" s="13" t="s">
        <v>60</v>
      </c>
      <c r="E158" s="15">
        <v>16</v>
      </c>
      <c r="F158" s="15">
        <v>14</v>
      </c>
      <c r="G158" s="10">
        <f t="shared" si="18"/>
        <v>0.14285714285714279</v>
      </c>
      <c r="H158" s="16">
        <v>15.5</v>
      </c>
      <c r="I158" s="10">
        <f t="shared" si="17"/>
        <v>0.10714285714285721</v>
      </c>
      <c r="J158" s="9">
        <v>16</v>
      </c>
      <c r="K158" s="13" t="s">
        <v>121</v>
      </c>
      <c r="L158" s="17">
        <f t="shared" si="19"/>
        <v>0.14285714285714279</v>
      </c>
      <c r="M158" s="14"/>
      <c r="N158" s="38">
        <v>17.3</v>
      </c>
    </row>
    <row r="159" spans="2:14" x14ac:dyDescent="0.2">
      <c r="B159" s="13" t="s">
        <v>65</v>
      </c>
      <c r="C159" s="14" t="s">
        <v>70</v>
      </c>
      <c r="D159" s="13" t="s">
        <v>60</v>
      </c>
      <c r="E159" s="15">
        <v>13</v>
      </c>
      <c r="F159" s="15">
        <v>12</v>
      </c>
      <c r="G159" s="10">
        <f t="shared" si="18"/>
        <v>8.3333333333333259E-2</v>
      </c>
      <c r="H159" s="16">
        <v>12</v>
      </c>
      <c r="I159" s="10">
        <f t="shared" si="17"/>
        <v>0</v>
      </c>
      <c r="J159" s="9">
        <v>13</v>
      </c>
      <c r="K159" s="13" t="s">
        <v>121</v>
      </c>
      <c r="L159" s="17">
        <f t="shared" si="19"/>
        <v>8.3333333333333259E-2</v>
      </c>
      <c r="M159" s="14"/>
      <c r="N159" s="38">
        <v>14.1</v>
      </c>
    </row>
    <row r="160" spans="2:14" x14ac:dyDescent="0.2">
      <c r="B160" s="13" t="s">
        <v>137</v>
      </c>
      <c r="C160" s="14" t="s">
        <v>140</v>
      </c>
      <c r="D160" s="42" t="s">
        <v>60</v>
      </c>
      <c r="E160" s="43"/>
      <c r="F160" s="43"/>
      <c r="G160" s="44"/>
      <c r="H160" s="45"/>
      <c r="I160" s="44"/>
      <c r="J160" s="46"/>
      <c r="K160" s="42"/>
      <c r="L160" s="47"/>
      <c r="M160" s="41"/>
      <c r="N160" s="48"/>
    </row>
    <row r="161" spans="2:14" ht="15" customHeight="1" x14ac:dyDescent="0.2">
      <c r="B161" s="39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</row>
    <row r="162" spans="2:14" x14ac:dyDescent="0.2">
      <c r="B162" s="13" t="s">
        <v>71</v>
      </c>
      <c r="C162" s="14" t="s">
        <v>76</v>
      </c>
      <c r="D162" s="13" t="s">
        <v>77</v>
      </c>
      <c r="E162" s="15">
        <v>45</v>
      </c>
      <c r="F162" s="15">
        <v>45</v>
      </c>
      <c r="G162" s="10">
        <f>E162/F162-1</f>
        <v>0</v>
      </c>
      <c r="H162" s="22">
        <v>45</v>
      </c>
      <c r="I162" s="10">
        <f t="shared" si="17"/>
        <v>0</v>
      </c>
      <c r="J162" s="22">
        <v>45</v>
      </c>
      <c r="K162" s="13"/>
      <c r="L162" s="17">
        <f>J162/F162-1</f>
        <v>0</v>
      </c>
      <c r="M162" s="14"/>
      <c r="N162" s="38">
        <v>48.6</v>
      </c>
    </row>
    <row r="163" spans="2:14" x14ac:dyDescent="0.2">
      <c r="B163" s="13" t="s">
        <v>72</v>
      </c>
      <c r="C163" s="14" t="s">
        <v>100</v>
      </c>
      <c r="D163" s="13" t="s">
        <v>77</v>
      </c>
      <c r="E163" s="15">
        <v>45</v>
      </c>
      <c r="F163" s="15">
        <v>30</v>
      </c>
      <c r="G163" s="10">
        <f>E163/F163-1</f>
        <v>0.5</v>
      </c>
      <c r="H163" s="16">
        <v>32.5</v>
      </c>
      <c r="I163" s="10">
        <f t="shared" si="17"/>
        <v>8.3333333333333259E-2</v>
      </c>
      <c r="J163" s="9">
        <v>40</v>
      </c>
      <c r="K163" s="13" t="s">
        <v>121</v>
      </c>
      <c r="L163" s="17">
        <f>J163/F163-1</f>
        <v>0.33333333333333326</v>
      </c>
      <c r="M163" s="14" t="s">
        <v>126</v>
      </c>
      <c r="N163" s="38">
        <v>37.799999999999997</v>
      </c>
    </row>
    <row r="164" spans="2:14" x14ac:dyDescent="0.2">
      <c r="B164" s="13" t="s">
        <v>73</v>
      </c>
      <c r="C164" s="14" t="s">
        <v>103</v>
      </c>
      <c r="D164" s="13" t="s">
        <v>104</v>
      </c>
      <c r="E164" s="15">
        <v>25</v>
      </c>
      <c r="F164" s="53" t="s">
        <v>115</v>
      </c>
      <c r="G164" s="53"/>
      <c r="H164" s="22">
        <v>25</v>
      </c>
      <c r="I164" s="10"/>
      <c r="J164" s="22">
        <v>25</v>
      </c>
      <c r="K164" s="13"/>
      <c r="L164" s="17"/>
      <c r="M164" s="14"/>
      <c r="N164" s="38">
        <v>27</v>
      </c>
    </row>
    <row r="165" spans="2:14" x14ac:dyDescent="0.2">
      <c r="B165" s="13" t="s">
        <v>74</v>
      </c>
      <c r="C165" s="14" t="s">
        <v>105</v>
      </c>
      <c r="D165" s="13" t="s">
        <v>104</v>
      </c>
      <c r="E165" s="15">
        <v>35</v>
      </c>
      <c r="F165" s="53" t="s">
        <v>115</v>
      </c>
      <c r="G165" s="53"/>
      <c r="H165" s="22">
        <v>35</v>
      </c>
      <c r="I165" s="10"/>
      <c r="J165" s="22">
        <v>35</v>
      </c>
      <c r="K165" s="13"/>
      <c r="L165" s="17"/>
      <c r="M165" s="14"/>
      <c r="N165" s="38">
        <v>37.799999999999997</v>
      </c>
    </row>
    <row r="166" spans="2:14" x14ac:dyDescent="0.2">
      <c r="B166" s="13" t="s">
        <v>75</v>
      </c>
      <c r="C166" s="14" t="s">
        <v>101</v>
      </c>
      <c r="D166" s="13" t="s">
        <v>12</v>
      </c>
      <c r="E166" s="15">
        <v>80</v>
      </c>
      <c r="F166" s="15">
        <v>80</v>
      </c>
      <c r="G166" s="10">
        <f>E166/F166-1</f>
        <v>0</v>
      </c>
      <c r="H166" s="22">
        <v>80</v>
      </c>
      <c r="I166" s="10">
        <f t="shared" si="17"/>
        <v>0</v>
      </c>
      <c r="J166" s="22">
        <v>80</v>
      </c>
      <c r="K166" s="13"/>
      <c r="L166" s="17">
        <f>J166/F166-1</f>
        <v>0</v>
      </c>
      <c r="M166" s="14"/>
      <c r="N166" s="38">
        <v>86.4</v>
      </c>
    </row>
    <row r="167" spans="2:14" x14ac:dyDescent="0.2">
      <c r="B167" s="13" t="s">
        <v>102</v>
      </c>
      <c r="C167" s="14" t="s">
        <v>78</v>
      </c>
      <c r="D167" s="13" t="s">
        <v>60</v>
      </c>
      <c r="E167" s="15">
        <v>20</v>
      </c>
      <c r="F167" s="15">
        <v>20</v>
      </c>
      <c r="G167" s="10">
        <f>E167/F167-1</f>
        <v>0</v>
      </c>
      <c r="H167" s="22">
        <v>20</v>
      </c>
      <c r="I167" s="10">
        <f t="shared" si="17"/>
        <v>0</v>
      </c>
      <c r="J167" s="22">
        <v>20</v>
      </c>
      <c r="K167" s="13"/>
      <c r="L167" s="17">
        <f>J167/F167-1</f>
        <v>0</v>
      </c>
      <c r="M167" s="14"/>
      <c r="N167" s="38">
        <v>21.6</v>
      </c>
    </row>
    <row r="168" spans="2:14" x14ac:dyDescent="0.2">
      <c r="B168" s="13" t="s">
        <v>116</v>
      </c>
      <c r="C168" s="14" t="s">
        <v>79</v>
      </c>
      <c r="D168" s="13" t="s">
        <v>60</v>
      </c>
      <c r="E168" s="15">
        <v>75</v>
      </c>
      <c r="F168" s="15">
        <v>75</v>
      </c>
      <c r="G168" s="10">
        <f>E168/F168-1</f>
        <v>0</v>
      </c>
      <c r="H168" s="22">
        <v>75</v>
      </c>
      <c r="I168" s="10">
        <f t="shared" si="17"/>
        <v>0</v>
      </c>
      <c r="J168" s="22">
        <v>75</v>
      </c>
      <c r="K168" s="13"/>
      <c r="L168" s="17">
        <f>J168/F168-1</f>
        <v>0</v>
      </c>
      <c r="M168" s="14"/>
      <c r="N168" s="38">
        <v>81</v>
      </c>
    </row>
    <row r="169" spans="2:14" x14ac:dyDescent="0.2">
      <c r="B169" s="13" t="s">
        <v>117</v>
      </c>
      <c r="C169" s="14" t="s">
        <v>106</v>
      </c>
      <c r="D169" s="13" t="s">
        <v>107</v>
      </c>
      <c r="E169" s="15">
        <v>75</v>
      </c>
      <c r="F169" s="53" t="s">
        <v>115</v>
      </c>
      <c r="G169" s="53"/>
      <c r="H169" s="22">
        <v>75</v>
      </c>
      <c r="I169" s="10"/>
      <c r="J169" s="22">
        <v>75</v>
      </c>
      <c r="K169" s="13"/>
      <c r="L169" s="17"/>
      <c r="M169" s="14"/>
      <c r="N169" s="38">
        <v>81</v>
      </c>
    </row>
    <row r="170" spans="2:14" hidden="1" x14ac:dyDescent="0.2">
      <c r="I170" s="7">
        <f>SUMIF(I2:I169,"&gt;=0")</f>
        <v>6.2845625374359502</v>
      </c>
      <c r="J170" s="8"/>
      <c r="K170" s="7"/>
      <c r="L170" s="7">
        <f>SUMIF(L2:L169,"&gt;=0")</f>
        <v>9.4708259834420829</v>
      </c>
    </row>
    <row r="171" spans="2:14" x14ac:dyDescent="0.2">
      <c r="I171" s="7">
        <f>COUNTIF(I2:I169,"&gt;=0")</f>
        <v>125</v>
      </c>
      <c r="J171" s="8"/>
      <c r="K171" s="7"/>
      <c r="L171" s="7">
        <f>COUNTIF(L2:L169,"&gt;=0")</f>
        <v>120</v>
      </c>
    </row>
    <row r="172" spans="2:14" x14ac:dyDescent="0.2">
      <c r="H172" s="3" t="s">
        <v>124</v>
      </c>
      <c r="I172" s="6">
        <f>I170/I171</f>
        <v>5.0276500299487603E-2</v>
      </c>
      <c r="L172" s="6">
        <f>L170/L171</f>
        <v>7.8923549862017356E-2</v>
      </c>
    </row>
    <row r="173" spans="2:14" ht="12.75" x14ac:dyDescent="0.2">
      <c r="C173" s="4"/>
    </row>
    <row r="175" spans="2:14" ht="12.75" x14ac:dyDescent="0.2">
      <c r="C175" s="4"/>
    </row>
    <row r="177" spans="3:3" ht="12.75" x14ac:dyDescent="0.2">
      <c r="C177" s="4"/>
    </row>
    <row r="179" spans="3:3" ht="12.75" x14ac:dyDescent="0.2">
      <c r="C179" s="4"/>
    </row>
    <row r="181" spans="3:3" ht="12.75" x14ac:dyDescent="0.2">
      <c r="C181" s="4"/>
    </row>
  </sheetData>
  <mergeCells count="16">
    <mergeCell ref="F42:G42"/>
    <mergeCell ref="F43:G43"/>
    <mergeCell ref="F49:G49"/>
    <mergeCell ref="F85:G85"/>
    <mergeCell ref="F87:G87"/>
    <mergeCell ref="F23:G23"/>
    <mergeCell ref="F24:G24"/>
    <mergeCell ref="F28:G28"/>
    <mergeCell ref="F29:G29"/>
    <mergeCell ref="F30:G30"/>
    <mergeCell ref="F90:G90"/>
    <mergeCell ref="F8:G8"/>
    <mergeCell ref="F10:G10"/>
    <mergeCell ref="F12:G12"/>
    <mergeCell ref="F13:G13"/>
    <mergeCell ref="F17:G17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80" orientation="landscape" r:id="rId1"/>
  <headerFooter>
    <oddFooter>&amp;C&amp;1#&amp;"Arial"&amp;9&amp;K737373Interno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</vt:i4>
      </vt:variant>
      <vt:variant>
        <vt:lpstr>Intervalos com Nome</vt:lpstr>
      </vt:variant>
      <vt:variant>
        <vt:i4>1</vt:i4>
      </vt:variant>
    </vt:vector>
  </HeadingPairs>
  <TitlesOfParts>
    <vt:vector size="2" baseType="lpstr">
      <vt:lpstr>Folha1</vt:lpstr>
      <vt:lpstr>Folha1!Área_de_Impressão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 Melo</dc:creator>
  <cp:lastModifiedBy>Jorge Soares</cp:lastModifiedBy>
  <cp:lastPrinted>2021-12-10T11:07:07Z</cp:lastPrinted>
  <dcterms:created xsi:type="dcterms:W3CDTF">2020-07-10T12:44:44Z</dcterms:created>
  <dcterms:modified xsi:type="dcterms:W3CDTF">2026-01-22T17:46:38Z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69da58f-ba9c-4ff3-9de9-f437324010d5_Enabled">
    <vt:lpwstr>True</vt:lpwstr>
  </property>
  <property fmtid="{D5CDD505-2E9C-101B-9397-08002B2CF9AE}" pid="3" name="MSIP_Label_169da58f-ba9c-4ff3-9de9-f437324010d5_SiteId">
    <vt:lpwstr>e7f9d69c-13f3-457c-a04c-f555c1134fa4</vt:lpwstr>
  </property>
  <property fmtid="{D5CDD505-2E9C-101B-9397-08002B2CF9AE}" pid="4" name="MSIP_Label_169da58f-ba9c-4ff3-9de9-f437324010d5_Owner">
    <vt:lpwstr>rui.gama.externo@ageasrepara.pt</vt:lpwstr>
  </property>
  <property fmtid="{D5CDD505-2E9C-101B-9397-08002B2CF9AE}" pid="5" name="MSIP_Label_169da58f-ba9c-4ff3-9de9-f437324010d5_SetDate">
    <vt:lpwstr>2021-12-02T16:09:37.8835099Z</vt:lpwstr>
  </property>
  <property fmtid="{D5CDD505-2E9C-101B-9397-08002B2CF9AE}" pid="6" name="MSIP_Label_169da58f-ba9c-4ff3-9de9-f437324010d5_Name">
    <vt:lpwstr>Interno</vt:lpwstr>
  </property>
  <property fmtid="{D5CDD505-2E9C-101B-9397-08002B2CF9AE}" pid="7" name="MSIP_Label_169da58f-ba9c-4ff3-9de9-f437324010d5_Application">
    <vt:lpwstr>Microsoft Azure Information Protection</vt:lpwstr>
  </property>
  <property fmtid="{D5CDD505-2E9C-101B-9397-08002B2CF9AE}" pid="8" name="MSIP_Label_169da58f-ba9c-4ff3-9de9-f437324010d5_ActionId">
    <vt:lpwstr>b694deba-ccbe-482b-864c-d58fe2ca40a5</vt:lpwstr>
  </property>
  <property fmtid="{D5CDD505-2E9C-101B-9397-08002B2CF9AE}" pid="9" name="MSIP_Label_169da58f-ba9c-4ff3-9de9-f437324010d5_Extended_MSFT_Method">
    <vt:lpwstr>Manual</vt:lpwstr>
  </property>
  <property fmtid="{D5CDD505-2E9C-101B-9397-08002B2CF9AE}" pid="10" name="Sensitivity">
    <vt:lpwstr>Interno</vt:lpwstr>
  </property>
</Properties>
</file>